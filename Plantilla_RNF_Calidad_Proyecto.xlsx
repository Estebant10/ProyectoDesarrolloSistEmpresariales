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eban Tabares\Downloads\Jueves - Desarrollo Sistemas\Nueva carpeta\"/>
    </mc:Choice>
  </mc:AlternateContent>
  <xr:revisionPtr revIDLastSave="0" documentId="13_ncr:1_{3F9D696A-210A-4867-B2D7-9C33CE26E0FC}" xr6:coauthVersionLast="47" xr6:coauthVersionMax="47" xr10:uidLastSave="{00000000-0000-0000-0000-000000000000}"/>
  <bookViews>
    <workbookView xWindow="-108" yWindow="-108" windowWidth="23256" windowHeight="12576" firstSheet="1" activeTab="6" xr2:uid="{00000000-000D-0000-FFFF-FFFF00000000}"/>
  </bookViews>
  <sheets>
    <sheet name="00_Portada" sheetId="1" r:id="rId1"/>
    <sheet name="01_RNF" sheetId="2" r:id="rId2"/>
    <sheet name="02_Mapeo_C4" sheetId="3" r:id="rId3"/>
    <sheet name="03_SLI_SLO" sheetId="4" r:id="rId4"/>
    <sheet name="04_Pruebas_RNF" sheetId="5" r:id="rId5"/>
    <sheet name="05_Riesgos_RNF" sheetId="6" r:id="rId6"/>
    <sheet name="06_Impl_Obs" sheetId="7" r:id="rId7"/>
    <sheet name="Instrucciones" sheetId="8" r:id="rId8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00" i="6" l="1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</calcChain>
</file>

<file path=xl/sharedStrings.xml><?xml version="1.0" encoding="utf-8"?>
<sst xmlns="http://schemas.openxmlformats.org/spreadsheetml/2006/main" count="382" uniqueCount="329">
  <si>
    <t>Plantilla de Entregable: RNF y Calidad del Software</t>
  </si>
  <si>
    <t>Proyecto</t>
  </si>
  <si>
    <t>Equipo</t>
  </si>
  <si>
    <t>Fecha</t>
  </si>
  <si>
    <t>Versión del documento</t>
  </si>
  <si>
    <t>Responsable del documento</t>
  </si>
  <si>
    <t>Aprobaciones</t>
  </si>
  <si>
    <t>Resumen del sistema/módulo</t>
  </si>
  <si>
    <t>Flujos críticos (referencia To-Be)</t>
  </si>
  <si>
    <t>Supuestos y restricciones</t>
  </si>
  <si>
    <t>Alcance RNF (módulos/entornos)</t>
  </si>
  <si>
    <t>ID</t>
  </si>
  <si>
    <t>Categoría</t>
  </si>
  <si>
    <t>Subcategoría</t>
  </si>
  <si>
    <t>RNF (formato SMART y medible)</t>
  </si>
  <si>
    <t>Métrica/SLI asociado</t>
  </si>
  <si>
    <t>Prioridad</t>
  </si>
  <si>
    <t>RNF ID</t>
  </si>
  <si>
    <t>Nivel C4</t>
  </si>
  <si>
    <t>Cambio propuesto</t>
  </si>
  <si>
    <t>Patrones/Decisiones</t>
  </si>
  <si>
    <t>Justificación</t>
  </si>
  <si>
    <t>SLI (nombre)</t>
  </si>
  <si>
    <t>Definición (consulta exacta)</t>
  </si>
  <si>
    <t>SLO (objetivo + ventana)</t>
  </si>
  <si>
    <t>Error Budget</t>
  </si>
  <si>
    <t>Regla de alerta (umbral + duración)</t>
  </si>
  <si>
    <t>Panel/Ubicación</t>
  </si>
  <si>
    <t>ID Prueba</t>
  </si>
  <si>
    <t>Herramienta</t>
  </si>
  <si>
    <t>Entorno</t>
  </si>
  <si>
    <t>Escenario</t>
  </si>
  <si>
    <t>Pasos</t>
  </si>
  <si>
    <t>Métricas recolectadas</t>
  </si>
  <si>
    <t>Criterios de aceptación</t>
  </si>
  <si>
    <t>Responsable</t>
  </si>
  <si>
    <t>Evidencias</t>
  </si>
  <si>
    <t>Riesgo</t>
  </si>
  <si>
    <t>Fase</t>
  </si>
  <si>
    <t>Prob (1-5)</t>
  </si>
  <si>
    <t>Impacto (1-5)</t>
  </si>
  <si>
    <t>Criticidad (P*I)</t>
  </si>
  <si>
    <t>Nivel</t>
  </si>
  <si>
    <t>Mitigación</t>
  </si>
  <si>
    <t>Contingencia</t>
  </si>
  <si>
    <t>Trigger/Umbral</t>
  </si>
  <si>
    <t>Dueño</t>
  </si>
  <si>
    <t>Fecha revisión</t>
  </si>
  <si>
    <t>Estado</t>
  </si>
  <si>
    <t>Plan de Implementación y Observabilidad</t>
  </si>
  <si>
    <t>Cambios de infraestructura (autoscaling, balanceo, zonas)</t>
  </si>
  <si>
    <t>Configuración de monitoreo y logging</t>
  </si>
  <si>
    <t>Plan de rollback</t>
  </si>
  <si>
    <t>Línea base de métricas (baseline) y re-medición</t>
  </si>
  <si>
    <t>Cómo usar esta plantilla:</t>
  </si>
  <si>
    <t>1) Complete 00_Portada con el contexto del proyecto.</t>
  </si>
  <si>
    <t>2) Documente todos los RNF en 01_RNF (use categorías y prioridades).</t>
  </si>
  <si>
    <t>3) Mapee el impacto de los RNF en arquitectura en 02_Mapeo_C4.</t>
  </si>
  <si>
    <t>4) Defina SLI/SLO y alertas en 03_SLI_SLO (consistencia con RNF).</t>
  </si>
  <si>
    <t>5) Planifique las pruebas en 04_Pruebas_RNF (criterios de aceptación).</t>
  </si>
  <si>
    <t>6) Gestione riesgos asociados en 05_Riesgos_RNF (incluya mitigación y contingencia).</t>
  </si>
  <si>
    <t>7) Describa implementación y observabilidad en 06_Impl_Obs.</t>
  </si>
  <si>
    <t>Notas: Use valores medibles (SMART), mantenga trazabilidad RNF→C4→SLI/SLO→Pruebas→Riesgos.</t>
  </si>
  <si>
    <t>Campo</t>
  </si>
  <si>
    <t>Contenido sugerido</t>
  </si>
  <si>
    <t>ZONATEC – Sistema Empresarial para la Gestión de Mantenimiento Tecnológico</t>
  </si>
  <si>
    <t>12 de noviembre de 2025</t>
  </si>
  <si>
    <t>1.0</t>
  </si>
  <si>
    <t>El sistema ZONATEC permite registrar, programar y controlar mantenimientos preventivos y correctivos de equipos tecnológicos. Integra módulos para gestión de inventario, órdenes de trabajo, reportes de desempeño y alertas automatizadas. Su objetivo es optimizar la trazabilidad, reducir tiempos de inactividad y centralizar la información técnica en una plataforma web.</t>
  </si>
  <si>
    <r>
      <t xml:space="preserve">Los RNF aplican a los módulos principales: </t>
    </r>
    <r>
      <rPr>
        <b/>
        <sz val="11"/>
        <color theme="1"/>
        <rFont val="Calibri"/>
        <family val="2"/>
        <scheme val="minor"/>
      </rPr>
      <t>Gestión de Equipos, Mantenimientos, Reportes y Seguridad.</t>
    </r>
    <r>
      <rPr>
        <sz val="11"/>
        <color theme="1"/>
        <rFont val="Calibri"/>
        <family val="2"/>
        <scheme val="minor"/>
      </rPr>
      <t xml:space="preserve"> Se validan en los entornos de </t>
    </r>
    <r>
      <rPr>
        <b/>
        <sz val="11"/>
        <color theme="1"/>
        <rFont val="Calibri"/>
        <family val="2"/>
        <scheme val="minor"/>
      </rPr>
      <t>staging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producción</t>
    </r>
    <r>
      <rPr>
        <sz val="11"/>
        <color theme="1"/>
        <rFont val="Calibri"/>
        <family val="2"/>
        <scheme val="minor"/>
      </rPr>
      <t>, midiendo métricas de rendimiento, disponibilidad, seguridad y observabilidad.</t>
    </r>
  </si>
  <si>
    <t>Diego Franco</t>
  </si>
  <si>
    <t>1. Registro y consulta de equipos tecnológicos.
2. Creación y seguimiento de órdenes de mantenimiento.
3. Generación de reportes de desempeño y alertas.
4. Autenticación y control de roles de usuario (Administrador, Técnico, Cliente).</t>
  </si>
  <si>
    <t>El sistema se ejecuta en entorno web con base de datos centralizada.
Los usuarios tienen conexión estable a Internet.
Los mantenimientos se registran de forma digital (no manual).
No se integran sistemas externos en la primera versión.
Se aplican buenas prácticas DevOps (entornos desarrollo, pruebas, producción).</t>
  </si>
  <si>
    <t xml:space="preserve">Esteban Tabares Londoño – Julian Andres Ocampo </t>
  </si>
  <si>
    <t>RNF-001</t>
  </si>
  <si>
    <t>Performance</t>
  </si>
  <si>
    <t>Tiempo de respuesta</t>
  </si>
  <si>
    <r>
      <t xml:space="preserve">El sistema debe responder a las solicitudes de consulta de equipos en un tiempo promedio p95 menor a </t>
    </r>
    <r>
      <rPr>
        <b/>
        <sz val="11"/>
        <color theme="1"/>
        <rFont val="Calibri"/>
        <family val="2"/>
        <scheme val="minor"/>
      </rPr>
      <t>2 segundos</t>
    </r>
    <r>
      <rPr>
        <sz val="11"/>
        <color theme="1"/>
        <rFont val="Calibri"/>
        <family val="2"/>
        <scheme val="minor"/>
      </rPr>
      <t xml:space="preserve">, bajo una carga de </t>
    </r>
    <r>
      <rPr>
        <b/>
        <sz val="11"/>
        <color theme="1"/>
        <rFont val="Calibri"/>
        <family val="2"/>
        <scheme val="minor"/>
      </rPr>
      <t>50 solicitudes por segundo</t>
    </r>
    <r>
      <rPr>
        <sz val="11"/>
        <color theme="1"/>
        <rFont val="Calibri"/>
        <family val="2"/>
        <scheme val="minor"/>
      </rPr>
      <t xml:space="preserve"> durante 15 minutos.</t>
    </r>
  </si>
  <si>
    <t>Latencia p95 &lt; 2s / Throughput ≥ 50 req/s</t>
  </si>
  <si>
    <t>Alta</t>
  </si>
  <si>
    <t>RNF-002</t>
  </si>
  <si>
    <t>Disponibilidad</t>
  </si>
  <si>
    <t>Uptime y resiliencia</t>
  </si>
  <si>
    <r>
      <t xml:space="preserve">El sistema debe mantener una </t>
    </r>
    <r>
      <rPr>
        <b/>
        <sz val="11"/>
        <color theme="1"/>
        <rFont val="Calibri"/>
        <family val="2"/>
        <scheme val="minor"/>
      </rPr>
      <t>disponibilidad mensual mínima del 99.5%</t>
    </r>
    <r>
      <rPr>
        <sz val="11"/>
        <color theme="1"/>
        <rFont val="Calibri"/>
        <family val="2"/>
        <scheme val="minor"/>
      </rPr>
      <t xml:space="preserve">, con una recuperación ante fallos (MTTR) menor o igual a </t>
    </r>
    <r>
      <rPr>
        <b/>
        <sz val="11"/>
        <color theme="1"/>
        <rFont val="Calibri"/>
        <family val="2"/>
        <scheme val="minor"/>
      </rPr>
      <t>15 minutos</t>
    </r>
    <r>
      <rPr>
        <sz val="11"/>
        <color theme="1"/>
        <rFont val="Calibri"/>
        <family val="2"/>
        <scheme val="minor"/>
      </rPr>
      <t xml:space="preserve"> en APIs críticas.</t>
    </r>
  </si>
  <si>
    <t>Uptime ≥ 99.5% / MTTR ≤ 15 min</t>
  </si>
  <si>
    <t>RNF-003</t>
  </si>
  <si>
    <t>Seguridad</t>
  </si>
  <si>
    <t>Autenticación y cifrado</t>
  </si>
  <si>
    <r>
      <t xml:space="preserve">Todos los accesos deben estar protegidos mediante </t>
    </r>
    <r>
      <rPr>
        <b/>
        <sz val="11"/>
        <color theme="1"/>
        <rFont val="Calibri"/>
        <family val="2"/>
        <scheme val="minor"/>
      </rPr>
      <t>autenticación JWT (RS256)</t>
    </r>
    <r>
      <rPr>
        <sz val="11"/>
        <color theme="1"/>
        <rFont val="Calibri"/>
        <family val="2"/>
        <scheme val="minor"/>
      </rPr>
      <t xml:space="preserve"> y los datos sensibles deben cifrarse en tránsito (TLS 1.2+) y en reposo (AES-256).</t>
    </r>
  </si>
  <si>
    <t>0 vulnerabilidades críticas / 100% de endpoints protegidos</t>
  </si>
  <si>
    <t>RNF-004</t>
  </si>
  <si>
    <t>Observabilidad</t>
  </si>
  <si>
    <t>Logs y trazabilidad</t>
  </si>
  <si>
    <r>
      <t xml:space="preserve">El 100% de las peticiones al sistema deben registrar un </t>
    </r>
    <r>
      <rPr>
        <b/>
        <sz val="11"/>
        <color theme="1"/>
        <rFont val="Calibri"/>
        <family val="2"/>
        <scheme val="minor"/>
      </rPr>
      <t>correlation-id único</t>
    </r>
    <r>
      <rPr>
        <sz val="11"/>
        <color theme="1"/>
        <rFont val="Calibri"/>
        <family val="2"/>
        <scheme val="minor"/>
      </rPr>
      <t xml:space="preserve">, incluir logs estructurados y generar métricas de rendimiento expuestas en </t>
    </r>
    <r>
      <rPr>
        <sz val="10"/>
        <color theme="1"/>
        <rFont val="Arial Unicode MS"/>
        <family val="2"/>
      </rPr>
      <t>/metrics</t>
    </r>
    <r>
      <rPr>
        <sz val="11"/>
        <color theme="1"/>
        <rFont val="Calibri"/>
        <family val="2"/>
        <scheme val="minor"/>
      </rPr>
      <t xml:space="preserve"> para Prometheus.</t>
    </r>
  </si>
  <si>
    <t>100% requests con correlation-id / logs estructurados válidos</t>
  </si>
  <si>
    <t>Media</t>
  </si>
  <si>
    <t>RNF-005</t>
  </si>
  <si>
    <t>Escalabilidad</t>
  </si>
  <si>
    <t>Escalado horizontal</t>
  </si>
  <si>
    <r>
      <t xml:space="preserve">El backend debe soportar </t>
    </r>
    <r>
      <rPr>
        <b/>
        <sz val="11"/>
        <color theme="1"/>
        <rFont val="Calibri"/>
        <family val="2"/>
        <scheme val="minor"/>
      </rPr>
      <t>incrementos de tráfico hasta 3×</t>
    </r>
    <r>
      <rPr>
        <sz val="11"/>
        <color theme="1"/>
        <rFont val="Calibri"/>
        <family val="2"/>
        <scheme val="minor"/>
      </rPr>
      <t xml:space="preserve"> sin rediseño mayor, activando escalado automático al </t>
    </r>
    <r>
      <rPr>
        <b/>
        <sz val="11"/>
        <color theme="1"/>
        <rFont val="Calibri"/>
        <family val="2"/>
        <scheme val="minor"/>
      </rPr>
      <t>70% de uso de CPU</t>
    </r>
    <r>
      <rPr>
        <sz val="11"/>
        <color theme="1"/>
        <rFont val="Calibri"/>
        <family val="2"/>
        <scheme val="minor"/>
      </rPr>
      <t xml:space="preserve"> sostenido por más de 5 minutos.</t>
    </r>
  </si>
  <si>
    <t>CPU ≥ 70% activa autoscaling / Escalado 3× sin fallos</t>
  </si>
  <si>
    <t>RNF-006</t>
  </si>
  <si>
    <t>Mantenibilidad</t>
  </si>
  <si>
    <t>Código y pruebas</t>
  </si>
  <si>
    <r>
      <t xml:space="preserve">El código de los módulos principales debe mantener una </t>
    </r>
    <r>
      <rPr>
        <b/>
        <sz val="11"/>
        <color theme="1"/>
        <rFont val="Calibri"/>
        <family val="2"/>
        <scheme val="minor"/>
      </rPr>
      <t>cobertura mínima de pruebas del 75%</t>
    </r>
    <r>
      <rPr>
        <sz val="11"/>
        <color theme="1"/>
        <rFont val="Calibri"/>
        <family val="2"/>
        <scheme val="minor"/>
      </rPr>
      <t xml:space="preserve">, con una </t>
    </r>
    <r>
      <rPr>
        <b/>
        <sz val="11"/>
        <color theme="1"/>
        <rFont val="Calibri"/>
        <family val="2"/>
        <scheme val="minor"/>
      </rPr>
      <t>complejidad ciclomática media ≤ 10</t>
    </r>
    <r>
      <rPr>
        <sz val="11"/>
        <color theme="1"/>
        <rFont val="Calibri"/>
        <family val="2"/>
        <scheme val="minor"/>
      </rPr>
      <t xml:space="preserve"> y revisiones de PR en menos de 24 horas.</t>
    </r>
  </si>
  <si>
    <t>Cobertura ≥ 75% / Complejidad ≤ 10 / PR &lt; 24h</t>
  </si>
  <si>
    <t>RNF-007</t>
  </si>
  <si>
    <t>Usabilidad</t>
  </si>
  <si>
    <t>Accesibilidad y tiempo de tarea</t>
  </si>
  <si>
    <r>
      <t xml:space="preserve">El usuario promedio debe poder registrar un mantenimiento completo en menos de </t>
    </r>
    <r>
      <rPr>
        <b/>
        <sz val="11"/>
        <color theme="1"/>
        <rFont val="Calibri"/>
        <family val="2"/>
        <scheme val="minor"/>
      </rPr>
      <t>2 minutos</t>
    </r>
    <r>
      <rPr>
        <sz val="11"/>
        <color theme="1"/>
        <rFont val="Calibri"/>
        <family val="2"/>
        <scheme val="minor"/>
      </rPr>
      <t xml:space="preserve">, cumpliendo el estándar de accesibilidad </t>
    </r>
    <r>
      <rPr>
        <b/>
        <sz val="11"/>
        <color theme="1"/>
        <rFont val="Calibri"/>
        <family val="2"/>
        <scheme val="minor"/>
      </rPr>
      <t>WCAG 2.1 AA</t>
    </r>
    <r>
      <rPr>
        <sz val="11"/>
        <color theme="1"/>
        <rFont val="Calibri"/>
        <family val="2"/>
        <scheme val="minor"/>
      </rPr>
      <t>.</t>
    </r>
  </si>
  <si>
    <t>Tiempo de tarea ≤ 2 min / Cumplimiento WCAG AA</t>
  </si>
  <si>
    <t>RNF-008</t>
  </si>
  <si>
    <t>Confiabilidad</t>
  </si>
  <si>
    <t>Reintentos e idempotencia</t>
  </si>
  <si>
    <r>
      <t xml:space="preserve">Las operaciones de mantenimiento y reportes deben tener </t>
    </r>
    <r>
      <rPr>
        <b/>
        <sz val="11"/>
        <color theme="1"/>
        <rFont val="Calibri"/>
        <family val="2"/>
        <scheme val="minor"/>
      </rPr>
      <t>reintentos automáticos</t>
    </r>
    <r>
      <rPr>
        <sz val="11"/>
        <color theme="1"/>
        <rFont val="Calibri"/>
        <family val="2"/>
        <scheme val="minor"/>
      </rPr>
      <t xml:space="preserve"> ante errores temporales, sin duplicar transacciones (idempotencia garantizada).</t>
    </r>
  </si>
  <si>
    <t>Tasa de error &lt; 1% / 0 duplicados en reintentos</t>
  </si>
  <si>
    <t>Container: Backend API y DB</t>
  </si>
  <si>
    <t>Implementar cache distribuido en la capa de servicio y optimizar consultas SQL.</t>
  </si>
  <si>
    <t>Cache en memoria (Redis), connection pooling, índices en DB.</t>
  </si>
  <si>
    <t>Reduce la latencia de respuesta y cumple p95 &lt; 2s con alto throughput.</t>
  </si>
  <si>
    <t>Container: Infraestructura (Deploy multi-zona)</t>
  </si>
  <si>
    <t>Configurar despliegue redundante en dos zonas con health checks automáticos.</t>
  </si>
  <si>
    <r>
      <t xml:space="preserve">Balanceador de carga (NGINX / AWS ELB), health endpoints </t>
    </r>
    <r>
      <rPr>
        <sz val="10"/>
        <color theme="1"/>
        <rFont val="Arial Unicode MS"/>
        <family val="2"/>
      </rPr>
      <t>/health</t>
    </r>
    <r>
      <rPr>
        <sz val="11"/>
        <color theme="1"/>
        <rFont val="Calibri"/>
        <family val="2"/>
        <scheme val="minor"/>
      </rPr>
      <t>, failover DB.</t>
    </r>
  </si>
  <si>
    <t>Garantiza disponibilidad ≥99.5% y recuperación (MTTR ≤ 15 min).</t>
  </si>
  <si>
    <t>Component: Gateway y Auth Service</t>
  </si>
  <si>
    <t>Incorporar autenticación JWT con RS256 y cifrado TLS/AES.</t>
  </si>
  <si>
    <t>API Gateway con HTTPS, gestión de secretos en Vault, RBAC por rol.</t>
  </si>
  <si>
    <t>Asegura cumplimiento OWASP, confidencialidad de datos y control de acceso.</t>
  </si>
  <si>
    <t>Component: Logging y Monitoring</t>
  </si>
  <si>
    <t>Agregar logging estructurado y trazas distribuidas en cada request.</t>
  </si>
  <si>
    <t>OpenTelemetry, Prometheus exporters, Correlation-ID en middleware.</t>
  </si>
  <si>
    <t>Permite trazabilidad total y medición de SLIs de latencia y errores.</t>
  </si>
  <si>
    <t>Container: Backend / Infraestructura</t>
  </si>
  <si>
    <t>Diseñar servicios stateless y activar autoscaling horizontal.</t>
  </si>
  <si>
    <t>Kubernetes HPA (Horizontal Pod Autoscaler), límites de CPU 70%.</t>
  </si>
  <si>
    <t>Asegura elasticidad del sistema ante incrementos de tráfico 3×.</t>
  </si>
  <si>
    <t>Code y Component: Backend Services</t>
  </si>
  <si>
    <t>Implementar pruebas unitarias y análisis de calidad automática en CI/CD.</t>
  </si>
  <si>
    <t>SonarQube, Jest/JUnit, PR reviews, Git hooks.</t>
  </si>
  <si>
    <t>Mejora mantenibilidad (cobertura ≥75%, complejidad ≤10).</t>
  </si>
  <si>
    <t>Component: Frontend Web</t>
  </si>
  <si>
    <t>Rediseñar formularios de mantenimiento siguiendo estándares WCAG 2.1 AA.</t>
  </si>
  <si>
    <t>Validaciones accesibles, ARIA labels, diseño responsivo, ayudas visuales.</t>
  </si>
  <si>
    <t>Mejora accesibilidad y tiempo de interacción del usuario (&lt;2 min).</t>
  </si>
  <si>
    <t>Component: Módulo de Mantenimientos</t>
  </si>
  <si>
    <t>Implementar idempotencia en endpoints críticos y reintentos con backoff.</t>
  </si>
  <si>
    <t>Claves idempotentes, colas de mensajes, patrón circuit breaker.</t>
  </si>
  <si>
    <t>Aumenta confiabilidad y evita duplicados en operaciones concurrentes.</t>
  </si>
  <si>
    <t>Latencia API Equipos</t>
  </si>
  <si>
    <t>histogram_quantile(0.95, rate(http_request_duration_seconds_bucket{endpoint="/equipos",method="GET"}[5m]))</t>
  </si>
  <si>
    <r>
      <t xml:space="preserve">p95 &lt; </t>
    </r>
    <r>
      <rPr>
        <b/>
        <sz val="11"/>
        <color theme="1"/>
        <rFont val="Calibri"/>
        <family val="2"/>
        <scheme val="minor"/>
      </rPr>
      <t>2 segundos</t>
    </r>
    <r>
      <rPr>
        <sz val="11"/>
        <color theme="1"/>
        <rFont val="Calibri"/>
        <family val="2"/>
        <scheme val="minor"/>
      </rPr>
      <t xml:space="preserve"> en una ventana de </t>
    </r>
    <r>
      <rPr>
        <b/>
        <sz val="11"/>
        <color theme="1"/>
        <rFont val="Calibri"/>
        <family val="2"/>
        <scheme val="minor"/>
      </rPr>
      <t>30 días</t>
    </r>
  </si>
  <si>
    <t>0.5% de peticiones pueden superar el límite</t>
  </si>
  <si>
    <t>Alerta si p95 &gt; 2s durante 10 min consecutivos</t>
  </si>
  <si>
    <t>Dashboard de rendimiento – Prometheus / Grafana</t>
  </si>
  <si>
    <t>Uptime servicio backend</t>
  </si>
  <si>
    <t>avg_over_time(probe_success{job="zonatec-api"}[30d]) * 100</t>
  </si>
  <si>
    <r>
      <t>≥99.5%</t>
    </r>
    <r>
      <rPr>
        <sz val="11"/>
        <color theme="1"/>
        <rFont val="Calibri"/>
        <family val="2"/>
        <scheme val="minor"/>
      </rPr>
      <t xml:space="preserve"> de disponibilidad mensual</t>
    </r>
  </si>
  <si>
    <t>0.5% del tiempo de inactividad permitido (~3.6 h/mes)</t>
  </si>
  <si>
    <t>Alerta si uptime &lt; 99.5% o caída &gt;5 min</t>
  </si>
  <si>
    <t>Panel de disponibilidad – Grafana / UptimeRobot</t>
  </si>
  <si>
    <t>Endpoints seguros</t>
  </si>
  <si>
    <t>count(http_requests_total{tls="true",status!~"5.."}) / count(http_requests_total)</t>
  </si>
  <si>
    <t>100% de requests cifrados y sin vulnerabilidades críticas</t>
  </si>
  <si>
    <t>0% de endpoints inseguros</t>
  </si>
  <si>
    <t>Alerta si se detecta endpoint sin TLS o CVE abierta &gt;72h</t>
  </si>
  <si>
    <t>Panel de seguridad – SonarQube / Grafana Security Board</t>
  </si>
  <si>
    <t>Requests con correlation-id</t>
  </si>
  <si>
    <t>sum(rate(http_requests_total{correlation_id!=""}[5m])) / sum(rate(http_requests_total[5m]))</t>
  </si>
  <si>
    <t>100% de peticiones deben incluir correlation-id</t>
  </si>
  <si>
    <t>0% sin correlation-id</t>
  </si>
  <si>
    <t>Alerta si &lt;100% por más de 30 min</t>
  </si>
  <si>
    <t>Panel de observabilidad – Grafana / Loki Logs</t>
  </si>
  <si>
    <t>Escalado CPU</t>
  </si>
  <si>
    <t>avg_over_time(container_cpu_usage_seconds_total{job="zonatec-api"}[5m]) * 100</t>
  </si>
  <si>
    <t>Autoescalado cuando CPU &gt;70% por más de 5 min</t>
  </si>
  <si>
    <t>Tolerancia: 30% de tiempo en alta carga</t>
  </si>
  <si>
    <t>Alerta si CPU &gt;85% por más de 10 min</t>
  </si>
  <si>
    <t>Panel de infraestructura – Grafana / K8s Metrics</t>
  </si>
  <si>
    <t>Cobertura de pruebas</t>
  </si>
  <si>
    <t>sonarqube_coverage{project="Zonatec"}</t>
  </si>
  <si>
    <r>
      <t xml:space="preserve">Cobertura ≥ </t>
    </r>
    <r>
      <rPr>
        <b/>
        <sz val="11"/>
        <color theme="1"/>
        <rFont val="Calibri"/>
        <family val="2"/>
        <scheme val="minor"/>
      </rPr>
      <t>75%</t>
    </r>
    <r>
      <rPr>
        <sz val="11"/>
        <color theme="1"/>
        <rFont val="Calibri"/>
        <family val="2"/>
        <scheme val="minor"/>
      </rPr>
      <t xml:space="preserve"> por sprint</t>
    </r>
  </si>
  <si>
    <t>25% de líneas pueden quedar sin cobertura</t>
  </si>
  <si>
    <t>Alerta si cobertura &lt;75% en build nightly</t>
  </si>
  <si>
    <t>Panel de calidad – SonarQube / CI Dashboard</t>
  </si>
  <si>
    <t>Tiempo de tarea usuario</t>
  </si>
  <si>
    <t>Métrica UX obtenida con test de usabilidad (encuesta SUS / tiempos reales)</t>
  </si>
  <si>
    <r>
      <t xml:space="preserve">Tiempo promedio de completar flujo ≤ </t>
    </r>
    <r>
      <rPr>
        <b/>
        <sz val="11"/>
        <color theme="1"/>
        <rFont val="Calibri"/>
        <family val="2"/>
        <scheme val="minor"/>
      </rPr>
      <t>2 minutos</t>
    </r>
  </si>
  <si>
    <t>10% de usuarios pueden superar el límite</t>
  </si>
  <si>
    <t>Alerta si promedio &gt;2 min en pruebas mensuales</t>
  </si>
  <si>
    <t>Panel UX / Reporte de pruebas de usabilidad</t>
  </si>
  <si>
    <t>Reintentos exitosos sin duplicar</t>
  </si>
  <si>
    <t>sum(rate(retry_operations_total{result="success"}[5m])) / sum(rate(retry_operations_total[5m]))</t>
  </si>
  <si>
    <t>≥99% de operaciones reintentadas exitosamente sin duplicados</t>
  </si>
  <si>
    <t>1% de reintentos pueden fallar</t>
  </si>
  <si>
    <t>Alerta si tasa de error &gt;1% o duplicados detectados</t>
  </si>
  <si>
    <t>Panel de confiabilidad – Grafana / Kibana</t>
  </si>
  <si>
    <t>PR-001</t>
  </si>
  <si>
    <t>RNF-001 (Performance)</t>
  </si>
  <si>
    <t>JMeter / k6</t>
  </si>
  <si>
    <t>Staging</t>
  </si>
  <si>
    <r>
      <t xml:space="preserve">Prueba de carga del endpoint </t>
    </r>
    <r>
      <rPr>
        <sz val="10"/>
        <color theme="1"/>
        <rFont val="Arial Unicode MS"/>
        <family val="2"/>
      </rPr>
      <t>/equipos</t>
    </r>
  </si>
  <si>
    <t>1. Configurar 50 usuarios concurrentes durante 15 min.2. Enviar solicitudes GET /equipos.3. Registrar latencia y error rate.</t>
  </si>
  <si>
    <t>Latencia p95, throughput, error rate.</t>
  </si>
  <si>
    <t>p95 &lt; 2s, throughput ≥ 50 req/s, error rate &lt; 0.5%.</t>
  </si>
  <si>
    <t>QA – Andrés</t>
  </si>
  <si>
    <t>Reporte JMeter + gráfico de rendimiento.</t>
  </si>
  <si>
    <t>PR-002</t>
  </si>
  <si>
    <t>RNF-002 (Disponibilidad)</t>
  </si>
  <si>
    <t>UptimeRobot / Prometheus</t>
  </si>
  <si>
    <t>Producción</t>
  </si>
  <si>
    <t>Monitoreo continuo del backend API</t>
  </si>
  <si>
    <t>1. Configurar probe HTTP cada 60s.2. Registrar tiempo de respuesta y éxito de conexión.</t>
  </si>
  <si>
    <t>Porcentaje uptime, MTTR, logs de caídas.</t>
  </si>
  <si>
    <t>Uptime ≥ 99.5%, MTTR ≤ 15 min.</t>
  </si>
  <si>
    <t>DevOps – Daniela</t>
  </si>
  <si>
    <t>Dashboard Prometheus + histórico de uptime.</t>
  </si>
  <si>
    <t>PR-003</t>
  </si>
  <si>
    <t>RNF-003 (Seguridad)</t>
  </si>
  <si>
    <t>OWASP ZAP / SonarQube / Postman</t>
  </si>
  <si>
    <t>Escaneo y prueba de endpoints protegidos</t>
  </si>
  <si>
    <t>1. Ejecutar análisis SAST y DAST.2. Intentar acceder sin token JWT.3. Verificar cifrado TLS activo.</t>
  </si>
  <si>
    <t>Vulnerabilidades críticas, porcentaje endpoints protegidos.</t>
  </si>
  <si>
    <t>0 vulnerabilidades críticas, 100% endpoints HTTPS.</t>
  </si>
  <si>
    <t>Seguridad – Carlos</t>
  </si>
  <si>
    <t>Informe OWASP + reporte SonarQube.</t>
  </si>
  <si>
    <t>PR-004</t>
  </si>
  <si>
    <t>RNF-004 (Observabilidad)</t>
  </si>
  <si>
    <t>Grafana / Loki / OpenTelemetry</t>
  </si>
  <si>
    <t>Validar trazas y logs estructurados</t>
  </si>
  <si>
    <r>
      <t xml:space="preserve">1. Enviar solicitudes a </t>
    </r>
    <r>
      <rPr>
        <sz val="10"/>
        <color theme="1"/>
        <rFont val="Arial Unicode MS"/>
        <family val="2"/>
      </rPr>
      <t>/mantenimientos</t>
    </r>
    <r>
      <rPr>
        <sz val="11"/>
        <color theme="1"/>
        <rFont val="Calibri"/>
        <family val="2"/>
        <scheme val="minor"/>
      </rPr>
      <t xml:space="preserve">.2. Revisar logs y correlation-id.3. Comprobar métricas en </t>
    </r>
    <r>
      <rPr>
        <sz val="10"/>
        <color theme="1"/>
        <rFont val="Arial Unicode MS"/>
        <family val="2"/>
      </rPr>
      <t>/metrics</t>
    </r>
    <r>
      <rPr>
        <sz val="11"/>
        <color theme="1"/>
        <rFont val="Calibri"/>
        <family val="2"/>
        <scheme val="minor"/>
      </rPr>
      <t>.</t>
    </r>
  </si>
  <si>
    <t>% requests con correlation-id, métricas RED.</t>
  </si>
  <si>
    <t>100% de requests con correlation-id, métricas visibles en panel.</t>
  </si>
  <si>
    <t>QA – Laura</t>
  </si>
  <si>
    <t>Capturas Grafana y registros Loki.</t>
  </si>
  <si>
    <t>PR-005</t>
  </si>
  <si>
    <t>RNF-005 (Escalabilidad)</t>
  </si>
  <si>
    <t>Kubernetes Dashboard / Prometheus</t>
  </si>
  <si>
    <t>Simulación de carga para autoscaling</t>
  </si>
  <si>
    <t>1. Simular carga 3× tráfico normal.2. Observar comportamiento del autoscaler.3. Medir CPU promedio y cantidad de pods.</t>
  </si>
  <si>
    <t>CPU promedio, número de pods activos.</t>
  </si>
  <si>
    <t>Autoescalado activo al 70% CPU sostenido 5 min, sin errores.</t>
  </si>
  <si>
    <t>Registro HPA en K8s + gráficos CPU.</t>
  </si>
  <si>
    <t>PR-006</t>
  </si>
  <si>
    <t>RNF-006 (Mantenibilidad)</t>
  </si>
  <si>
    <t>SonarQube / Jenkins CI</t>
  </si>
  <si>
    <t>Dev / CI</t>
  </si>
  <si>
    <t>Verificación de cobertura y calidad de código</t>
  </si>
  <si>
    <t>1. Ejecutar build con tests automáticos.2. Analizar resultados en SonarQube.3. Revisar complejidad y revisiones.</t>
  </si>
  <si>
    <t>Cobertura %, complejidad ciclomática, tiempo revisión PR.</t>
  </si>
  <si>
    <t>Cobertura ≥ 75%, complejidad ≤ 10, PR &lt; 24h.</t>
  </si>
  <si>
    <t>Líder técnico – Esteban</t>
  </si>
  <si>
    <t>Reporte SonarQube + logs CI/CD.</t>
  </si>
  <si>
    <t>PR-007</t>
  </si>
  <si>
    <t>RNF-007 (Usabilidad)</t>
  </si>
  <si>
    <t>Test de usabilidad / Cronómetro / Encuesta SUS</t>
  </si>
  <si>
    <t>QA / Usuario final</t>
  </si>
  <si>
    <t>Medición de tiempo de interacción</t>
  </si>
  <si>
    <t>1. Observar usuario registrando mantenimiento.2. Cronometrar duración.3. Evaluar accesibilidad WCAG.</t>
  </si>
  <si>
    <t>Tiempo promedio tarea, puntaje SUS.</t>
  </si>
  <si>
    <t>Tiempo ≤ 2 min, SUS ≥ 80, cumple WCAG AA.</t>
  </si>
  <si>
    <t>Video prueba + encuesta SUS.</t>
  </si>
  <si>
    <t>PR-008</t>
  </si>
  <si>
    <t>RNF-008 (Confiabilidad)</t>
  </si>
  <si>
    <t>Postman / Grafana / Logs</t>
  </si>
  <si>
    <t>Validar reintentos automáticos e idempotencia</t>
  </si>
  <si>
    <t>1. Forzar error temporal al guardar mantenimiento.2. Verificar reintento automático.3. Confirmar que no haya duplicados.</t>
  </si>
  <si>
    <t>Tasa de éxito en reintentos, duplicados detectados.</t>
  </si>
  <si>
    <t>≥99% reintentos exitosos, 0 duplicados.</t>
  </si>
  <si>
    <t>Backend Dev – Carlos</t>
  </si>
  <si>
    <t>Log de operaciones y dashboard de reintentos.</t>
  </si>
  <si>
    <t>R-001</t>
  </si>
  <si>
    <t>Alta latencia en consultas de equipos o mantenimientos</t>
  </si>
  <si>
    <t>Operación</t>
  </si>
  <si>
    <t>Alto</t>
  </si>
  <si>
    <t>Implementar caching y optimización de consultas SQL.</t>
  </si>
  <si>
    <t>Congelar despliegues hasta mejorar rendimiento.</t>
  </si>
  <si>
    <t>p95 &gt; 2s por 10 min.</t>
  </si>
  <si>
    <t>Activo</t>
  </si>
  <si>
    <t>R-002</t>
  </si>
  <si>
    <t>Caída del backend API por sobrecarga o fallo de red</t>
  </si>
  <si>
    <t>Despliegue multi-zona y health checks automáticos.</t>
  </si>
  <si>
    <t>Activar failover y restaurar backup.</t>
  </si>
  <si>
    <t>5xx &gt; 3% durante 15 min.</t>
  </si>
  <si>
    <t>R-003</t>
  </si>
  <si>
    <t>Vulnerabilidades críticas en endpoints</t>
  </si>
  <si>
    <t>Escaneo continuo SAST/DAST y revisión de dependencias.</t>
  </si>
  <si>
    <t>Ejecución del playbook de incidente.</t>
  </si>
  <si>
    <t>CVE abierta &gt;72h.</t>
  </si>
  <si>
    <t>R-004</t>
  </si>
  <si>
    <t>Logs sin correlation-id o pérdida de trazas</t>
  </si>
  <si>
    <t>Medio</t>
  </si>
  <si>
    <t>Configurar middleware de logging y agentes OpenTelemetry.</t>
  </si>
  <si>
    <t>Validar manualmente trazas y reintentos.</t>
  </si>
  <si>
    <t>&lt;100% logs con correlation-id.</t>
  </si>
  <si>
    <t>En mitigación</t>
  </si>
  <si>
    <t>R-005</t>
  </si>
  <si>
    <t>Fallo en autoscaling o saturación del sistema</t>
  </si>
  <si>
    <t>Integración / Producción</t>
  </si>
  <si>
    <t>Configurar HPA con thresholds verificados (70% CPU).</t>
  </si>
  <si>
    <t>Escalado manual temporal.</t>
  </si>
  <si>
    <t>CPU &gt;85% por 10 min.</t>
  </si>
  <si>
    <t>R-006</t>
  </si>
  <si>
    <t>Baja cobertura o alta complejidad del código</t>
  </si>
  <si>
    <t>Desarrollo</t>
  </si>
  <si>
    <t>Revisiones de código y pruebas automáticas en CI/CD.</t>
  </si>
  <si>
    <t>Asignar sprint técnico de refactorización.</t>
  </si>
  <si>
    <t>Cobertura &lt;75% o complejidad &gt;10.</t>
  </si>
  <si>
    <t>En seguimiento</t>
  </si>
  <si>
    <t>R-007</t>
  </si>
  <si>
    <t>Mala experiencia o bajo puntaje de usabilidad</t>
  </si>
  <si>
    <t>Pruebas de usabilidad periódicas y mejoras UX.</t>
  </si>
  <si>
    <t>Ajustes de interfaz y accesibilidad inmediata.</t>
  </si>
  <si>
    <t>SUS &lt; 80 o tiempo &gt; 2 min.</t>
  </si>
  <si>
    <t>R-008</t>
  </si>
  <si>
    <t>Reintentos fallidos o duplicación de operaciones</t>
  </si>
  <si>
    <t>Implementar idempotencia y control de colas.</t>
  </si>
  <si>
    <t>Reprocesar operaciones duplicadas manualmente.</t>
  </si>
  <si>
    <t>Tasa de error &gt;1% o duplicado detectado.</t>
  </si>
  <si>
    <t>DevOps – Julian</t>
  </si>
  <si>
    <t>Seguridad – Esteban</t>
  </si>
  <si>
    <t>QA – Esteban</t>
  </si>
  <si>
    <t>Backend Dev – Julian</t>
  </si>
  <si>
    <t>Contenido recomendado para ZONATEC</t>
  </si>
  <si>
    <r>
      <t xml:space="preserve">Se configurará </t>
    </r>
    <r>
      <rPr>
        <b/>
        <sz val="11"/>
        <color theme="1"/>
        <rFont val="Calibri"/>
        <family val="2"/>
        <scheme val="minor"/>
      </rPr>
      <t>autoscaling horizontal</t>
    </r>
    <r>
      <rPr>
        <sz val="11"/>
        <color theme="1"/>
        <rFont val="Calibri"/>
        <family val="2"/>
        <scheme val="minor"/>
      </rPr>
      <t xml:space="preserve"> para los contenedores del backend en Kubernetes (HPA activado al 70% de CPU por 5 min). Se utilizará </t>
    </r>
    <r>
      <rPr>
        <b/>
        <sz val="11"/>
        <color theme="1"/>
        <rFont val="Calibri"/>
        <family val="2"/>
        <scheme val="minor"/>
      </rPr>
      <t>balanceo de carga</t>
    </r>
    <r>
      <rPr>
        <sz val="11"/>
        <color theme="1"/>
        <rFont val="Calibri"/>
        <family val="2"/>
        <scheme val="minor"/>
      </rPr>
      <t xml:space="preserve"> mediante NGINX Ingress Controller y despliegue en </t>
    </r>
    <r>
      <rPr>
        <b/>
        <sz val="11"/>
        <color theme="1"/>
        <rFont val="Calibri"/>
        <family val="2"/>
        <scheme val="minor"/>
      </rPr>
      <t>dos zonas de disponibilidad</t>
    </r>
    <r>
      <rPr>
        <sz val="11"/>
        <color theme="1"/>
        <rFont val="Calibri"/>
        <family val="2"/>
        <scheme val="minor"/>
      </rPr>
      <t xml:space="preserve"> para alta disponibilidad. La base de datos implementará </t>
    </r>
    <r>
      <rPr>
        <b/>
        <sz val="11"/>
        <color theme="1"/>
        <rFont val="Calibri"/>
        <family val="2"/>
        <scheme val="minor"/>
      </rPr>
      <t>replicación maestro–esclavo</t>
    </r>
    <r>
      <rPr>
        <sz val="11"/>
        <color theme="1"/>
        <rFont val="Calibri"/>
        <family val="2"/>
        <scheme val="minor"/>
      </rPr>
      <t xml:space="preserve"> para tolerancia a fallos.</t>
    </r>
  </si>
  <si>
    <r>
      <t xml:space="preserve">Se integrarán </t>
    </r>
    <r>
      <rPr>
        <b/>
        <sz val="11"/>
        <color theme="1"/>
        <rFont val="Calibri"/>
        <family val="2"/>
        <scheme val="minor"/>
      </rPr>
      <t>Prometheus</t>
    </r>
    <r>
      <rPr>
        <sz val="11"/>
        <color theme="1"/>
        <rFont val="Calibri"/>
        <family val="2"/>
        <scheme val="minor"/>
      </rPr>
      <t xml:space="preserve"> para métricas de rendimiento y </t>
    </r>
    <r>
      <rPr>
        <b/>
        <sz val="11"/>
        <color theme="1"/>
        <rFont val="Calibri"/>
        <family val="2"/>
        <scheme val="minor"/>
      </rPr>
      <t>Grafana</t>
    </r>
    <r>
      <rPr>
        <sz val="11"/>
        <color theme="1"/>
        <rFont val="Calibri"/>
        <family val="2"/>
        <scheme val="minor"/>
      </rPr>
      <t xml:space="preserve"> para visualización de paneles (SLI/SLO de latencia, uptime, CPU, errores). Los </t>
    </r>
    <r>
      <rPr>
        <b/>
        <sz val="11"/>
        <color theme="1"/>
        <rFont val="Calibri"/>
        <family val="2"/>
        <scheme val="minor"/>
      </rPr>
      <t>logs estructurados</t>
    </r>
    <r>
      <rPr>
        <sz val="11"/>
        <color theme="1"/>
        <rFont val="Calibri"/>
        <family val="2"/>
        <scheme val="minor"/>
      </rPr>
      <t xml:space="preserve"> se centralizarán en </t>
    </r>
    <r>
      <rPr>
        <b/>
        <sz val="11"/>
        <color theme="1"/>
        <rFont val="Calibri"/>
        <family val="2"/>
        <scheme val="minor"/>
      </rPr>
      <t>Loki</t>
    </r>
    <r>
      <rPr>
        <sz val="11"/>
        <color theme="1"/>
        <rFont val="Calibri"/>
        <family val="2"/>
        <scheme val="minor"/>
      </rPr>
      <t xml:space="preserve">, con trazas distribuidas a través de </t>
    </r>
    <r>
      <rPr>
        <b/>
        <sz val="11"/>
        <color theme="1"/>
        <rFont val="Calibri"/>
        <family val="2"/>
        <scheme val="minor"/>
      </rPr>
      <t>OpenTelemetry</t>
    </r>
    <r>
      <rPr>
        <sz val="11"/>
        <color theme="1"/>
        <rFont val="Calibri"/>
        <family val="2"/>
        <scheme val="minor"/>
      </rPr>
      <t xml:space="preserve">. Cada request incluirá un </t>
    </r>
    <r>
      <rPr>
        <b/>
        <sz val="11"/>
        <color theme="1"/>
        <rFont val="Calibri"/>
        <family val="2"/>
        <scheme val="minor"/>
      </rPr>
      <t>correlation-id único</t>
    </r>
    <r>
      <rPr>
        <sz val="11"/>
        <color theme="1"/>
        <rFont val="Calibri"/>
        <family val="2"/>
        <scheme val="minor"/>
      </rPr>
      <t xml:space="preserve"> para trazabilidad. Alertas automáticas configuradas en Prometheus Alertmanager.</t>
    </r>
  </si>
  <si>
    <t>Feature flags y estrategia de despliegue (canary / blue-green)</t>
  </si>
  <si>
    <r>
      <t xml:space="preserve">Las nuevas funcionalidades se liberarán mediante </t>
    </r>
    <r>
      <rPr>
        <b/>
        <sz val="11"/>
        <color theme="1"/>
        <rFont val="Calibri"/>
        <family val="2"/>
        <scheme val="minor"/>
      </rPr>
      <t>feature flags</t>
    </r>
    <r>
      <rPr>
        <sz val="11"/>
        <color theme="1"/>
        <rFont val="Calibri"/>
        <family val="2"/>
        <scheme val="minor"/>
      </rPr>
      <t xml:space="preserve"> controladas desde el backend. Se utilizará un enfoque </t>
    </r>
    <r>
      <rPr>
        <b/>
        <sz val="11"/>
        <color theme="1"/>
        <rFont val="Calibri"/>
        <family val="2"/>
        <scheme val="minor"/>
      </rPr>
      <t>Blue-Green Deployment</t>
    </r>
    <r>
      <rPr>
        <sz val="11"/>
        <color theme="1"/>
        <rFont val="Calibri"/>
        <family val="2"/>
        <scheme val="minor"/>
      </rPr>
      <t xml:space="preserve"> para asegurar transiciones sin downtime. En entornos de staging se harán pruebas </t>
    </r>
    <r>
      <rPr>
        <b/>
        <sz val="11"/>
        <color theme="1"/>
        <rFont val="Calibri"/>
        <family val="2"/>
        <scheme val="minor"/>
      </rPr>
      <t>canary</t>
    </r>
    <r>
      <rPr>
        <sz val="11"/>
        <color theme="1"/>
        <rFont val="Calibri"/>
        <family val="2"/>
        <scheme val="minor"/>
      </rPr>
      <t xml:space="preserve"> con usuarios internos antes del despliegue a producción.</t>
    </r>
  </si>
  <si>
    <r>
      <t xml:space="preserve">Se mantendrán </t>
    </r>
    <r>
      <rPr>
        <b/>
        <sz val="11"/>
        <color theme="1"/>
        <rFont val="Calibri"/>
        <family val="2"/>
        <scheme val="minor"/>
      </rPr>
      <t>versiones versionadas</t>
    </r>
    <r>
      <rPr>
        <sz val="11"/>
        <color theme="1"/>
        <rFont val="Calibri"/>
        <family val="2"/>
        <scheme val="minor"/>
      </rPr>
      <t xml:space="preserve"> de imágenes Docker en el registry. En caso de fallo crítico, el rollback será inmediato a la versión anterior estable mediante </t>
    </r>
    <r>
      <rPr>
        <sz val="10"/>
        <color theme="1"/>
        <rFont val="Arial Unicode MS"/>
        <family val="2"/>
      </rPr>
      <t>kubectl rollout undo</t>
    </r>
    <r>
      <rPr>
        <sz val="11"/>
        <color theme="1"/>
        <rFont val="Calibri"/>
        <family val="2"/>
        <scheme val="minor"/>
      </rPr>
      <t xml:space="preserve">. Las bases de datos tendrán </t>
    </r>
    <r>
      <rPr>
        <b/>
        <sz val="11"/>
        <color theme="1"/>
        <rFont val="Calibri"/>
        <family val="2"/>
        <scheme val="minor"/>
      </rPr>
      <t>backups automáticos diarios</t>
    </r>
    <r>
      <rPr>
        <sz val="11"/>
        <color theme="1"/>
        <rFont val="Calibri"/>
        <family val="2"/>
        <scheme val="minor"/>
      </rPr>
      <t xml:space="preserve"> y puntos de restauración antes de cada release. Los triggers de rollback se basan en alertas de disponibilidad o errores &gt;3% durante 10 min.</t>
    </r>
  </si>
  <si>
    <r>
      <t xml:space="preserve">La línea base inicial se establecerá tras 1 semana de operación estable en staging: - p95 = 1.8s - Uptime = 99.6% - Error rate = 0.4% - Cobertura = 78% - CPU promedio = 55% Estas métricas se </t>
    </r>
    <r>
      <rPr>
        <b/>
        <sz val="11"/>
        <color theme="1"/>
        <rFont val="Calibri"/>
        <family val="2"/>
        <scheme val="minor"/>
      </rPr>
      <t>re-medirán cada sprint (2 semanas)</t>
    </r>
    <r>
      <rPr>
        <sz val="11"/>
        <color theme="1"/>
        <rFont val="Calibri"/>
        <family val="2"/>
        <scheme val="minor"/>
      </rPr>
      <t xml:space="preserve"> para evaluar mejora continua de RNF. Los resultados se documentarán en los paneles de observabilidad y en los informes CI/CD.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</si>
</sst>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2" fillId="2" borderId="5" xfId="0" applyFont="1" applyFill="1" applyBorder="1"/>
    <xf numFmtId="0" fontId="2" fillId="2" borderId="6" xfId="0" applyFont="1" applyFill="1" applyBorder="1"/>
    <xf numFmtId="0" fontId="2" fillId="2" borderId="2" xfId="0" applyFont="1" applyFill="1" applyBorder="1"/>
    <xf numFmtId="0" fontId="2" fillId="2" borderId="7" xfId="0" applyFont="1" applyFill="1" applyBorder="1"/>
    <xf numFmtId="0" fontId="2" fillId="2" borderId="4" xfId="0" applyFont="1" applyFill="1" applyBorder="1"/>
    <xf numFmtId="0" fontId="2" fillId="2" borderId="8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0" fillId="0" borderId="2" xfId="0" applyBorder="1"/>
    <xf numFmtId="0" fontId="0" fillId="0" borderId="3" xfId="0" applyBorder="1" applyAlignment="1">
      <alignment vertical="top" wrapText="1"/>
    </xf>
    <xf numFmtId="14" fontId="0" fillId="0" borderId="1" xfId="0" applyNumberFormat="1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8" sqref="B8"/>
    </sheetView>
  </sheetViews>
  <sheetFormatPr baseColWidth="10" defaultColWidth="8.88671875" defaultRowHeight="14.4" x14ac:dyDescent="0.3"/>
  <cols>
    <col min="1" max="1" width="55.44140625" bestFit="1" customWidth="1"/>
    <col min="2" max="2" width="90.6640625" customWidth="1"/>
  </cols>
  <sheetData>
    <row r="1" spans="1:2" ht="18" x14ac:dyDescent="0.35">
      <c r="A1" s="1" t="s">
        <v>0</v>
      </c>
    </row>
    <row r="2" spans="1:2" ht="15" thickBot="1" x14ac:dyDescent="0.35"/>
    <row r="3" spans="1:2" ht="22.2" customHeight="1" thickBot="1" x14ac:dyDescent="0.35">
      <c r="A3" s="8" t="s">
        <v>63</v>
      </c>
      <c r="B3" s="7" t="s">
        <v>64</v>
      </c>
    </row>
    <row r="4" spans="1:2" x14ac:dyDescent="0.3">
      <c r="A4" s="6" t="s">
        <v>1</v>
      </c>
      <c r="B4" s="6" t="s">
        <v>65</v>
      </c>
    </row>
    <row r="5" spans="1:2" x14ac:dyDescent="0.3">
      <c r="A5" s="4" t="s">
        <v>2</v>
      </c>
      <c r="B5" s="5" t="s">
        <v>73</v>
      </c>
    </row>
    <row r="6" spans="1:2" x14ac:dyDescent="0.3">
      <c r="A6" s="4" t="s">
        <v>3</v>
      </c>
      <c r="B6" s="5" t="s">
        <v>66</v>
      </c>
    </row>
    <row r="7" spans="1:2" x14ac:dyDescent="0.3">
      <c r="A7" s="4" t="s">
        <v>4</v>
      </c>
      <c r="B7" s="5" t="s">
        <v>67</v>
      </c>
    </row>
    <row r="8" spans="1:2" x14ac:dyDescent="0.3">
      <c r="A8" s="4" t="s">
        <v>5</v>
      </c>
      <c r="B8" s="5" t="s">
        <v>73</v>
      </c>
    </row>
    <row r="9" spans="1:2" x14ac:dyDescent="0.3">
      <c r="A9" s="4" t="s">
        <v>6</v>
      </c>
      <c r="B9" s="5" t="s">
        <v>70</v>
      </c>
    </row>
    <row r="10" spans="1:2" ht="57.6" x14ac:dyDescent="0.3">
      <c r="A10" s="4" t="s">
        <v>7</v>
      </c>
      <c r="B10" s="5" t="s">
        <v>68</v>
      </c>
    </row>
    <row r="11" spans="1:2" ht="57.6" x14ac:dyDescent="0.3">
      <c r="A11" s="4" t="s">
        <v>8</v>
      </c>
      <c r="B11" s="5" t="s">
        <v>71</v>
      </c>
    </row>
    <row r="12" spans="1:2" ht="72" x14ac:dyDescent="0.3">
      <c r="A12" s="4" t="s">
        <v>9</v>
      </c>
      <c r="B12" s="5" t="s">
        <v>72</v>
      </c>
    </row>
    <row r="13" spans="1:2" ht="43.2" x14ac:dyDescent="0.3">
      <c r="A13" s="4" t="s">
        <v>10</v>
      </c>
      <c r="B13" s="5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pane ySplit="1" topLeftCell="A2" activePane="bottomLeft" state="frozen"/>
      <selection pane="bottomLeft" activeCell="D6" sqref="D6"/>
    </sheetView>
  </sheetViews>
  <sheetFormatPr baseColWidth="10" defaultColWidth="8.88671875" defaultRowHeight="14.4" x14ac:dyDescent="0.3"/>
  <cols>
    <col min="1" max="1" width="8" bestFit="1" customWidth="1"/>
    <col min="2" max="2" width="13.109375" bestFit="1" customWidth="1"/>
    <col min="3" max="3" width="21.6640625" bestFit="1" customWidth="1"/>
    <col min="4" max="4" width="69.6640625" bestFit="1" customWidth="1"/>
    <col min="5" max="5" width="39.88671875" bestFit="1" customWidth="1"/>
    <col min="6" max="6" width="8.6640625" bestFit="1" customWidth="1"/>
  </cols>
  <sheetData>
    <row r="1" spans="1:6" ht="21.6" customHeight="1" thickBot="1" x14ac:dyDescent="0.35">
      <c r="A1" s="10" t="s">
        <v>11</v>
      </c>
      <c r="B1" s="12" t="s">
        <v>12</v>
      </c>
      <c r="C1" s="13" t="s">
        <v>13</v>
      </c>
      <c r="D1" s="12" t="s">
        <v>14</v>
      </c>
      <c r="E1" s="12" t="s">
        <v>15</v>
      </c>
      <c r="F1" s="14" t="s">
        <v>16</v>
      </c>
    </row>
    <row r="2" spans="1:6" ht="43.2" x14ac:dyDescent="0.3">
      <c r="A2" s="6" t="s">
        <v>74</v>
      </c>
      <c r="B2" s="9" t="s">
        <v>75</v>
      </c>
      <c r="C2" s="9" t="s">
        <v>76</v>
      </c>
      <c r="D2" s="9" t="s">
        <v>77</v>
      </c>
      <c r="E2" s="9" t="s">
        <v>78</v>
      </c>
      <c r="F2" s="9" t="s">
        <v>79</v>
      </c>
    </row>
    <row r="3" spans="1:6" ht="28.8" x14ac:dyDescent="0.3">
      <c r="A3" s="4" t="s">
        <v>80</v>
      </c>
      <c r="B3" s="5" t="s">
        <v>81</v>
      </c>
      <c r="C3" s="5" t="s">
        <v>82</v>
      </c>
      <c r="D3" s="5" t="s">
        <v>83</v>
      </c>
      <c r="E3" s="5" t="s">
        <v>84</v>
      </c>
      <c r="F3" s="5" t="s">
        <v>79</v>
      </c>
    </row>
    <row r="4" spans="1:6" ht="28.8" x14ac:dyDescent="0.3">
      <c r="A4" s="4" t="s">
        <v>85</v>
      </c>
      <c r="B4" s="5" t="s">
        <v>86</v>
      </c>
      <c r="C4" s="5" t="s">
        <v>87</v>
      </c>
      <c r="D4" s="5" t="s">
        <v>88</v>
      </c>
      <c r="E4" s="5" t="s">
        <v>89</v>
      </c>
      <c r="F4" s="5" t="s">
        <v>79</v>
      </c>
    </row>
    <row r="5" spans="1:6" ht="43.8" x14ac:dyDescent="0.3">
      <c r="A5" s="4" t="s">
        <v>90</v>
      </c>
      <c r="B5" s="5" t="s">
        <v>91</v>
      </c>
      <c r="C5" s="5" t="s">
        <v>92</v>
      </c>
      <c r="D5" s="5" t="s">
        <v>93</v>
      </c>
      <c r="E5" s="5" t="s">
        <v>94</v>
      </c>
      <c r="F5" s="5" t="s">
        <v>95</v>
      </c>
    </row>
    <row r="6" spans="1:6" ht="43.2" x14ac:dyDescent="0.3">
      <c r="A6" s="4" t="s">
        <v>96</v>
      </c>
      <c r="B6" s="5" t="s">
        <v>97</v>
      </c>
      <c r="C6" s="5" t="s">
        <v>98</v>
      </c>
      <c r="D6" s="5" t="s">
        <v>99</v>
      </c>
      <c r="E6" s="5" t="s">
        <v>100</v>
      </c>
      <c r="F6" s="5" t="s">
        <v>95</v>
      </c>
    </row>
    <row r="7" spans="1:6" ht="43.2" x14ac:dyDescent="0.3">
      <c r="A7" s="4" t="s">
        <v>101</v>
      </c>
      <c r="B7" s="5" t="s">
        <v>102</v>
      </c>
      <c r="C7" s="5" t="s">
        <v>103</v>
      </c>
      <c r="D7" s="5" t="s">
        <v>104</v>
      </c>
      <c r="E7" s="5" t="s">
        <v>105</v>
      </c>
      <c r="F7" s="5" t="s">
        <v>95</v>
      </c>
    </row>
    <row r="8" spans="1:6" ht="28.8" x14ac:dyDescent="0.3">
      <c r="A8" s="4" t="s">
        <v>106</v>
      </c>
      <c r="B8" s="5" t="s">
        <v>107</v>
      </c>
      <c r="C8" s="5" t="s">
        <v>108</v>
      </c>
      <c r="D8" s="5" t="s">
        <v>109</v>
      </c>
      <c r="E8" s="5" t="s">
        <v>110</v>
      </c>
      <c r="F8" s="5" t="s">
        <v>95</v>
      </c>
    </row>
    <row r="9" spans="1:6" ht="28.8" x14ac:dyDescent="0.3">
      <c r="A9" s="4" t="s">
        <v>111</v>
      </c>
      <c r="B9" s="5" t="s">
        <v>112</v>
      </c>
      <c r="C9" s="5" t="s">
        <v>113</v>
      </c>
      <c r="D9" s="5" t="s">
        <v>114</v>
      </c>
      <c r="E9" s="5" t="s">
        <v>115</v>
      </c>
      <c r="F9" s="5" t="s">
        <v>79</v>
      </c>
    </row>
  </sheetData>
  <dataValidations count="3">
    <dataValidation type="list" allowBlank="1" showInputMessage="1" showErrorMessage="1" sqref="B10:B1000" xr:uid="{00000000-0002-0000-0100-000000000000}">
      <formula1>"Performance,Disponibilidad,Resiliencia,Seguridad,Observabilidad,Escalabilidad,Mantenibilidad,Usabilidad,Accesibilidad,Confiabilidad"</formula1>
    </dataValidation>
    <dataValidation type="list" allowBlank="1" showInputMessage="1" showErrorMessage="1" sqref="C10:C1000" xr:uid="{00000000-0002-0000-0100-000001000000}">
      <formula1>"Latencia,Throughput,Concurrencia,Uptime,MTTR,Retries,Circuit Breaker,Degradación,AuthN/AuthZ,Cifrado,Vulnerabilidades,Logs,Métricas,Trazas,Horizontal,Vertical,Cobertura,Complejidad,PR Review,Tareas,WCAG,WCAG AA,Compatibilidad,MTBF,Idempotencia"</formula1>
    </dataValidation>
    <dataValidation type="list" allowBlank="1" showInputMessage="1" showErrorMessage="1" sqref="F10:F1000" xr:uid="{00000000-0002-0000-0100-000002000000}">
      <formula1>"Alta,Media,Baja"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pane ySplit="1" topLeftCell="A2" activePane="bottomLeft" state="frozen"/>
      <selection pane="bottomLeft" activeCell="C6" sqref="C6"/>
    </sheetView>
  </sheetViews>
  <sheetFormatPr baseColWidth="10" defaultColWidth="8.88671875" defaultRowHeight="14.4" x14ac:dyDescent="0.3"/>
  <cols>
    <col min="1" max="1" width="8" bestFit="1" customWidth="1"/>
    <col min="2" max="2" width="23.77734375" customWidth="1"/>
    <col min="3" max="3" width="46.44140625" customWidth="1"/>
    <col min="4" max="4" width="42.6640625" customWidth="1"/>
    <col min="5" max="5" width="45.6640625" customWidth="1"/>
  </cols>
  <sheetData>
    <row r="1" spans="1:5" ht="22.2" customHeight="1" thickBot="1" x14ac:dyDescent="0.35">
      <c r="A1" s="10" t="s">
        <v>17</v>
      </c>
      <c r="B1" s="12" t="s">
        <v>18</v>
      </c>
      <c r="C1" s="13" t="s">
        <v>19</v>
      </c>
      <c r="D1" s="12" t="s">
        <v>20</v>
      </c>
      <c r="E1" s="14" t="s">
        <v>21</v>
      </c>
    </row>
    <row r="2" spans="1:5" ht="28.8" x14ac:dyDescent="0.3">
      <c r="A2" s="6" t="s">
        <v>74</v>
      </c>
      <c r="B2" s="6" t="s">
        <v>116</v>
      </c>
      <c r="C2" s="9" t="s">
        <v>117</v>
      </c>
      <c r="D2" s="9" t="s">
        <v>118</v>
      </c>
      <c r="E2" s="9" t="s">
        <v>119</v>
      </c>
    </row>
    <row r="3" spans="1:5" ht="43.2" x14ac:dyDescent="0.3">
      <c r="A3" s="4" t="s">
        <v>80</v>
      </c>
      <c r="B3" s="4" t="s">
        <v>120</v>
      </c>
      <c r="C3" s="5" t="s">
        <v>121</v>
      </c>
      <c r="D3" s="5" t="s">
        <v>122</v>
      </c>
      <c r="E3" s="5" t="s">
        <v>123</v>
      </c>
    </row>
    <row r="4" spans="1:5" ht="43.2" x14ac:dyDescent="0.3">
      <c r="A4" s="4" t="s">
        <v>85</v>
      </c>
      <c r="B4" s="4" t="s">
        <v>124</v>
      </c>
      <c r="C4" s="5" t="s">
        <v>125</v>
      </c>
      <c r="D4" s="5" t="s">
        <v>126</v>
      </c>
      <c r="E4" s="5" t="s">
        <v>127</v>
      </c>
    </row>
    <row r="5" spans="1:5" ht="28.8" x14ac:dyDescent="0.3">
      <c r="A5" s="4" t="s">
        <v>90</v>
      </c>
      <c r="B5" s="4" t="s">
        <v>128</v>
      </c>
      <c r="C5" s="5" t="s">
        <v>129</v>
      </c>
      <c r="D5" s="5" t="s">
        <v>130</v>
      </c>
      <c r="E5" s="5" t="s">
        <v>131</v>
      </c>
    </row>
    <row r="6" spans="1:5" ht="28.8" x14ac:dyDescent="0.3">
      <c r="A6" s="4" t="s">
        <v>96</v>
      </c>
      <c r="B6" s="4" t="s">
        <v>132</v>
      </c>
      <c r="C6" s="5" t="s">
        <v>133</v>
      </c>
      <c r="D6" s="5" t="s">
        <v>134</v>
      </c>
      <c r="E6" s="5" t="s">
        <v>135</v>
      </c>
    </row>
    <row r="7" spans="1:5" ht="28.8" x14ac:dyDescent="0.3">
      <c r="A7" s="4" t="s">
        <v>101</v>
      </c>
      <c r="B7" s="4" t="s">
        <v>136</v>
      </c>
      <c r="C7" s="5" t="s">
        <v>137</v>
      </c>
      <c r="D7" s="5" t="s">
        <v>138</v>
      </c>
      <c r="E7" s="5" t="s">
        <v>139</v>
      </c>
    </row>
    <row r="8" spans="1:5" ht="28.8" x14ac:dyDescent="0.3">
      <c r="A8" s="4" t="s">
        <v>106</v>
      </c>
      <c r="B8" s="4" t="s">
        <v>140</v>
      </c>
      <c r="C8" s="5" t="s">
        <v>141</v>
      </c>
      <c r="D8" s="5" t="s">
        <v>142</v>
      </c>
      <c r="E8" s="5" t="s">
        <v>143</v>
      </c>
    </row>
    <row r="9" spans="1:5" ht="43.2" x14ac:dyDescent="0.3">
      <c r="A9" s="4" t="s">
        <v>111</v>
      </c>
      <c r="B9" s="4" t="s">
        <v>144</v>
      </c>
      <c r="C9" s="5" t="s">
        <v>145</v>
      </c>
      <c r="D9" s="5" t="s">
        <v>146</v>
      </c>
      <c r="E9" s="5" t="s">
        <v>147</v>
      </c>
    </row>
  </sheetData>
  <dataValidations count="1">
    <dataValidation type="list" allowBlank="1" showInputMessage="1" showErrorMessage="1" sqref="B10:B1000" xr:uid="{00000000-0002-0000-0200-000000000000}">
      <formula1>"Context,Container,Component"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topLeftCell="C1" workbookViewId="0">
      <pane ySplit="1" topLeftCell="A2" activePane="bottomLeft" state="frozen"/>
      <selection pane="bottomLeft" activeCell="I1" sqref="I1"/>
    </sheetView>
  </sheetViews>
  <sheetFormatPr baseColWidth="10" defaultColWidth="8.88671875" defaultRowHeight="14.4" x14ac:dyDescent="0.3"/>
  <cols>
    <col min="1" max="1" width="8" bestFit="1" customWidth="1"/>
    <col min="2" max="2" width="26.88671875" bestFit="1" customWidth="1"/>
    <col min="3" max="3" width="43.109375" customWidth="1"/>
    <col min="4" max="4" width="34.77734375" customWidth="1"/>
    <col min="5" max="5" width="18.5546875" bestFit="1" customWidth="1"/>
    <col min="6" max="6" width="37.6640625" customWidth="1"/>
    <col min="7" max="7" width="35.6640625" customWidth="1"/>
  </cols>
  <sheetData>
    <row r="1" spans="1:8" ht="20.399999999999999" customHeight="1" thickBot="1" x14ac:dyDescent="0.35">
      <c r="A1" s="12" t="s">
        <v>17</v>
      </c>
      <c r="B1" s="13" t="s">
        <v>22</v>
      </c>
      <c r="C1" s="12" t="s">
        <v>23</v>
      </c>
      <c r="D1" s="11" t="s">
        <v>24</v>
      </c>
      <c r="E1" s="15" t="s">
        <v>25</v>
      </c>
      <c r="F1" s="12" t="s">
        <v>26</v>
      </c>
      <c r="G1" s="14" t="s">
        <v>27</v>
      </c>
      <c r="H1" s="18"/>
    </row>
    <row r="2" spans="1:8" ht="45" x14ac:dyDescent="0.3">
      <c r="A2" s="6" t="s">
        <v>74</v>
      </c>
      <c r="B2" s="9" t="s">
        <v>148</v>
      </c>
      <c r="C2" s="17" t="s">
        <v>149</v>
      </c>
      <c r="D2" s="9" t="s">
        <v>150</v>
      </c>
      <c r="E2" s="9" t="s">
        <v>151</v>
      </c>
      <c r="F2" s="9" t="s">
        <v>152</v>
      </c>
      <c r="G2" s="9" t="s">
        <v>153</v>
      </c>
    </row>
    <row r="3" spans="1:8" ht="43.2" x14ac:dyDescent="0.3">
      <c r="A3" s="4" t="s">
        <v>80</v>
      </c>
      <c r="B3" s="5" t="s">
        <v>154</v>
      </c>
      <c r="C3" s="16" t="s">
        <v>155</v>
      </c>
      <c r="D3" s="4" t="s">
        <v>156</v>
      </c>
      <c r="E3" s="5" t="s">
        <v>157</v>
      </c>
      <c r="F3" s="5" t="s">
        <v>158</v>
      </c>
      <c r="G3" s="5" t="s">
        <v>159</v>
      </c>
    </row>
    <row r="4" spans="1:8" ht="30" x14ac:dyDescent="0.3">
      <c r="A4" s="4" t="s">
        <v>85</v>
      </c>
      <c r="B4" s="5" t="s">
        <v>160</v>
      </c>
      <c r="C4" s="16" t="s">
        <v>161</v>
      </c>
      <c r="D4" s="5" t="s">
        <v>162</v>
      </c>
      <c r="E4" s="5" t="s">
        <v>163</v>
      </c>
      <c r="F4" s="5" t="s">
        <v>164</v>
      </c>
      <c r="G4" s="5" t="s">
        <v>165</v>
      </c>
    </row>
    <row r="5" spans="1:8" ht="30" x14ac:dyDescent="0.3">
      <c r="A5" s="4" t="s">
        <v>90</v>
      </c>
      <c r="B5" s="5" t="s">
        <v>166</v>
      </c>
      <c r="C5" s="16" t="s">
        <v>167</v>
      </c>
      <c r="D5" s="5" t="s">
        <v>168</v>
      </c>
      <c r="E5" s="5" t="s">
        <v>169</v>
      </c>
      <c r="F5" s="5" t="s">
        <v>170</v>
      </c>
      <c r="G5" s="5" t="s">
        <v>171</v>
      </c>
    </row>
    <row r="6" spans="1:8" ht="30" x14ac:dyDescent="0.3">
      <c r="A6" s="4" t="s">
        <v>96</v>
      </c>
      <c r="B6" s="5" t="s">
        <v>172</v>
      </c>
      <c r="C6" s="16" t="s">
        <v>173</v>
      </c>
      <c r="D6" s="5" t="s">
        <v>174</v>
      </c>
      <c r="E6" s="5" t="s">
        <v>175</v>
      </c>
      <c r="F6" s="5" t="s">
        <v>176</v>
      </c>
      <c r="G6" s="5" t="s">
        <v>177</v>
      </c>
    </row>
    <row r="7" spans="1:8" ht="28.8" x14ac:dyDescent="0.3">
      <c r="A7" s="4" t="s">
        <v>101</v>
      </c>
      <c r="B7" s="5" t="s">
        <v>178</v>
      </c>
      <c r="C7" s="16" t="s">
        <v>179</v>
      </c>
      <c r="D7" s="5" t="s">
        <v>180</v>
      </c>
      <c r="E7" s="5" t="s">
        <v>181</v>
      </c>
      <c r="F7" s="5" t="s">
        <v>182</v>
      </c>
      <c r="G7" s="5" t="s">
        <v>183</v>
      </c>
    </row>
    <row r="8" spans="1:8" ht="43.2" x14ac:dyDescent="0.3">
      <c r="A8" s="4" t="s">
        <v>106</v>
      </c>
      <c r="B8" s="5" t="s">
        <v>184</v>
      </c>
      <c r="C8" s="5" t="s">
        <v>185</v>
      </c>
      <c r="D8" s="5" t="s">
        <v>186</v>
      </c>
      <c r="E8" s="5" t="s">
        <v>187</v>
      </c>
      <c r="F8" s="5" t="s">
        <v>188</v>
      </c>
      <c r="G8" s="5" t="s">
        <v>189</v>
      </c>
    </row>
    <row r="9" spans="1:8" ht="30" x14ac:dyDescent="0.3">
      <c r="A9" s="4" t="s">
        <v>111</v>
      </c>
      <c r="B9" s="5" t="s">
        <v>190</v>
      </c>
      <c r="C9" s="16" t="s">
        <v>191</v>
      </c>
      <c r="D9" s="5" t="s">
        <v>192</v>
      </c>
      <c r="E9" s="5" t="s">
        <v>193</v>
      </c>
      <c r="F9" s="5" t="s">
        <v>194</v>
      </c>
      <c r="G9" s="5" t="s">
        <v>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9"/>
  <sheetViews>
    <sheetView workbookViewId="0">
      <pane ySplit="1" topLeftCell="A2" activePane="bottomLeft" state="frozen"/>
      <selection pane="bottomLeft" activeCell="F4" sqref="F4"/>
    </sheetView>
  </sheetViews>
  <sheetFormatPr baseColWidth="10" defaultColWidth="8.88671875" defaultRowHeight="14.4" x14ac:dyDescent="0.3"/>
  <cols>
    <col min="1" max="1" width="9.21875" bestFit="1" customWidth="1"/>
    <col min="2" max="2" width="12.6640625" customWidth="1"/>
    <col min="3" max="3" width="28.109375" customWidth="1"/>
    <col min="4" max="4" width="15.44140625" bestFit="1" customWidth="1"/>
    <col min="5" max="5" width="33.33203125" customWidth="1"/>
    <col min="6" max="6" width="45.6640625" customWidth="1"/>
    <col min="7" max="7" width="32.77734375" customWidth="1"/>
    <col min="8" max="8" width="33.21875" customWidth="1"/>
    <col min="9" max="9" width="19.88671875" bestFit="1" customWidth="1"/>
    <col min="10" max="10" width="25.88671875" customWidth="1"/>
  </cols>
  <sheetData>
    <row r="1" spans="1:10" ht="21" customHeight="1" thickBot="1" x14ac:dyDescent="0.35">
      <c r="A1" s="12" t="s">
        <v>28</v>
      </c>
      <c r="B1" s="12" t="s">
        <v>17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</row>
    <row r="2" spans="1:10" ht="43.2" x14ac:dyDescent="0.3">
      <c r="A2" s="6" t="s">
        <v>196</v>
      </c>
      <c r="B2" s="9" t="s">
        <v>197</v>
      </c>
      <c r="C2" s="9" t="s">
        <v>198</v>
      </c>
      <c r="D2" s="9" t="s">
        <v>199</v>
      </c>
      <c r="E2" s="9" t="s">
        <v>200</v>
      </c>
      <c r="F2" s="9" t="s">
        <v>201</v>
      </c>
      <c r="G2" s="9" t="s">
        <v>202</v>
      </c>
      <c r="H2" s="9" t="s">
        <v>203</v>
      </c>
      <c r="I2" s="9" t="s">
        <v>204</v>
      </c>
      <c r="J2" s="9" t="s">
        <v>205</v>
      </c>
    </row>
    <row r="3" spans="1:10" ht="43.2" x14ac:dyDescent="0.3">
      <c r="A3" s="4" t="s">
        <v>206</v>
      </c>
      <c r="B3" s="5" t="s">
        <v>207</v>
      </c>
      <c r="C3" s="5" t="s">
        <v>208</v>
      </c>
      <c r="D3" s="5" t="s">
        <v>209</v>
      </c>
      <c r="E3" s="5" t="s">
        <v>210</v>
      </c>
      <c r="F3" s="5" t="s">
        <v>211</v>
      </c>
      <c r="G3" s="5" t="s">
        <v>212</v>
      </c>
      <c r="H3" s="5" t="s">
        <v>213</v>
      </c>
      <c r="I3" s="5" t="s">
        <v>214</v>
      </c>
      <c r="J3" s="5" t="s">
        <v>215</v>
      </c>
    </row>
    <row r="4" spans="1:10" ht="28.8" x14ac:dyDescent="0.3">
      <c r="A4" s="4" t="s">
        <v>216</v>
      </c>
      <c r="B4" s="5" t="s">
        <v>217</v>
      </c>
      <c r="C4" s="5" t="s">
        <v>218</v>
      </c>
      <c r="D4" s="5" t="s">
        <v>199</v>
      </c>
      <c r="E4" s="5" t="s">
        <v>219</v>
      </c>
      <c r="F4" s="5" t="s">
        <v>220</v>
      </c>
      <c r="G4" s="5" t="s">
        <v>221</v>
      </c>
      <c r="H4" s="5" t="s">
        <v>222</v>
      </c>
      <c r="I4" s="5" t="s">
        <v>223</v>
      </c>
      <c r="J4" s="5" t="s">
        <v>224</v>
      </c>
    </row>
    <row r="5" spans="1:10" ht="43.2" x14ac:dyDescent="0.3">
      <c r="A5" s="4" t="s">
        <v>225</v>
      </c>
      <c r="B5" s="5" t="s">
        <v>226</v>
      </c>
      <c r="C5" s="5" t="s">
        <v>227</v>
      </c>
      <c r="D5" s="5" t="s">
        <v>199</v>
      </c>
      <c r="E5" s="5" t="s">
        <v>228</v>
      </c>
      <c r="F5" s="5" t="s">
        <v>229</v>
      </c>
      <c r="G5" s="5" t="s">
        <v>230</v>
      </c>
      <c r="H5" s="5" t="s">
        <v>231</v>
      </c>
      <c r="I5" s="5" t="s">
        <v>232</v>
      </c>
      <c r="J5" s="5" t="s">
        <v>233</v>
      </c>
    </row>
    <row r="6" spans="1:10" ht="43.2" x14ac:dyDescent="0.3">
      <c r="A6" s="4" t="s">
        <v>234</v>
      </c>
      <c r="B6" s="5" t="s">
        <v>235</v>
      </c>
      <c r="C6" s="5" t="s">
        <v>236</v>
      </c>
      <c r="D6" s="5" t="s">
        <v>209</v>
      </c>
      <c r="E6" s="5" t="s">
        <v>237</v>
      </c>
      <c r="F6" s="5" t="s">
        <v>238</v>
      </c>
      <c r="G6" s="5" t="s">
        <v>239</v>
      </c>
      <c r="H6" s="5" t="s">
        <v>240</v>
      </c>
      <c r="I6" s="5" t="s">
        <v>214</v>
      </c>
      <c r="J6" s="5" t="s">
        <v>241</v>
      </c>
    </row>
    <row r="7" spans="1:10" ht="43.2" x14ac:dyDescent="0.3">
      <c r="A7" s="4" t="s">
        <v>242</v>
      </c>
      <c r="B7" s="5" t="s">
        <v>243</v>
      </c>
      <c r="C7" s="5" t="s">
        <v>244</v>
      </c>
      <c r="D7" s="5" t="s">
        <v>245</v>
      </c>
      <c r="E7" s="5" t="s">
        <v>246</v>
      </c>
      <c r="F7" s="5" t="s">
        <v>247</v>
      </c>
      <c r="G7" s="5" t="s">
        <v>248</v>
      </c>
      <c r="H7" s="5" t="s">
        <v>249</v>
      </c>
      <c r="I7" s="5" t="s">
        <v>250</v>
      </c>
      <c r="J7" s="5" t="s">
        <v>251</v>
      </c>
    </row>
    <row r="8" spans="1:10" ht="28.8" x14ac:dyDescent="0.3">
      <c r="A8" s="4" t="s">
        <v>252</v>
      </c>
      <c r="B8" s="5" t="s">
        <v>253</v>
      </c>
      <c r="C8" s="5" t="s">
        <v>254</v>
      </c>
      <c r="D8" s="5" t="s">
        <v>255</v>
      </c>
      <c r="E8" s="5" t="s">
        <v>256</v>
      </c>
      <c r="F8" s="5" t="s">
        <v>257</v>
      </c>
      <c r="G8" s="5" t="s">
        <v>258</v>
      </c>
      <c r="H8" s="5" t="s">
        <v>259</v>
      </c>
      <c r="I8" s="5" t="s">
        <v>232</v>
      </c>
      <c r="J8" s="5" t="s">
        <v>260</v>
      </c>
    </row>
    <row r="9" spans="1:10" ht="43.2" x14ac:dyDescent="0.3">
      <c r="A9" s="4" t="s">
        <v>261</v>
      </c>
      <c r="B9" s="5" t="s">
        <v>262</v>
      </c>
      <c r="C9" s="5" t="s">
        <v>263</v>
      </c>
      <c r="D9" s="5" t="s">
        <v>199</v>
      </c>
      <c r="E9" s="5" t="s">
        <v>264</v>
      </c>
      <c r="F9" s="5" t="s">
        <v>265</v>
      </c>
      <c r="G9" s="5" t="s">
        <v>266</v>
      </c>
      <c r="H9" s="5" t="s">
        <v>267</v>
      </c>
      <c r="I9" s="5" t="s">
        <v>268</v>
      </c>
      <c r="J9" s="5" t="s">
        <v>269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0"/>
  <sheetViews>
    <sheetView workbookViewId="0">
      <pane ySplit="1" topLeftCell="A2" activePane="bottomLeft" state="frozen"/>
      <selection pane="bottomLeft" activeCell="N1" sqref="N1"/>
    </sheetView>
  </sheetViews>
  <sheetFormatPr baseColWidth="10" defaultColWidth="8.88671875" defaultRowHeight="14.4" x14ac:dyDescent="0.3"/>
  <cols>
    <col min="1" max="1" width="5.77734375" bestFit="1" customWidth="1"/>
    <col min="2" max="2" width="35.21875" customWidth="1"/>
    <col min="3" max="3" width="11.44140625" bestFit="1" customWidth="1"/>
    <col min="4" max="4" width="9.44140625" bestFit="1" customWidth="1"/>
    <col min="5" max="5" width="12.44140625" bestFit="1" customWidth="1"/>
    <col min="6" max="6" width="13.33203125" bestFit="1" customWidth="1"/>
    <col min="7" max="7" width="6.44140625" bestFit="1" customWidth="1"/>
    <col min="8" max="8" width="45.5546875" bestFit="1" customWidth="1"/>
    <col min="9" max="9" width="42.5546875" bestFit="1" customWidth="1"/>
    <col min="10" max="10" width="35.33203125" bestFit="1" customWidth="1"/>
    <col min="11" max="11" width="19.88671875" bestFit="1" customWidth="1"/>
    <col min="12" max="12" width="12.88671875" bestFit="1" customWidth="1"/>
    <col min="13" max="13" width="13.33203125" bestFit="1" customWidth="1"/>
  </cols>
  <sheetData>
    <row r="1" spans="1:13" ht="15" thickBot="1" x14ac:dyDescent="0.35">
      <c r="A1" s="12" t="s">
        <v>11</v>
      </c>
      <c r="B1" s="12" t="s">
        <v>37</v>
      </c>
      <c r="C1" s="12" t="s">
        <v>38</v>
      </c>
      <c r="D1" s="12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12" t="s">
        <v>47</v>
      </c>
      <c r="M1" s="12" t="s">
        <v>48</v>
      </c>
    </row>
    <row r="2" spans="1:13" ht="28.8" x14ac:dyDescent="0.3">
      <c r="A2" s="6" t="s">
        <v>270</v>
      </c>
      <c r="B2" s="9" t="s">
        <v>271</v>
      </c>
      <c r="C2" s="9" t="s">
        <v>272</v>
      </c>
      <c r="D2" s="9">
        <v>3</v>
      </c>
      <c r="E2" s="9">
        <v>4</v>
      </c>
      <c r="F2" s="9">
        <v>12</v>
      </c>
      <c r="G2" s="6" t="s">
        <v>273</v>
      </c>
      <c r="H2" s="9" t="s">
        <v>274</v>
      </c>
      <c r="I2" s="9" t="s">
        <v>275</v>
      </c>
      <c r="J2" s="9" t="s">
        <v>276</v>
      </c>
      <c r="K2" s="9" t="s">
        <v>250</v>
      </c>
      <c r="L2" s="21">
        <v>45973</v>
      </c>
      <c r="M2" s="9" t="s">
        <v>277</v>
      </c>
    </row>
    <row r="3" spans="1:13" ht="28.8" x14ac:dyDescent="0.3">
      <c r="A3" s="4" t="s">
        <v>278</v>
      </c>
      <c r="B3" s="5" t="s">
        <v>279</v>
      </c>
      <c r="C3" s="5" t="s">
        <v>209</v>
      </c>
      <c r="D3" s="5">
        <v>2</v>
      </c>
      <c r="E3" s="5">
        <v>5</v>
      </c>
      <c r="F3" s="5">
        <v>10</v>
      </c>
      <c r="G3" s="4" t="s">
        <v>273</v>
      </c>
      <c r="H3" s="5" t="s">
        <v>280</v>
      </c>
      <c r="I3" s="5" t="s">
        <v>281</v>
      </c>
      <c r="J3" s="5" t="s">
        <v>282</v>
      </c>
      <c r="K3" s="5" t="s">
        <v>318</v>
      </c>
      <c r="L3" s="20">
        <v>45973</v>
      </c>
      <c r="M3" s="5" t="s">
        <v>277</v>
      </c>
    </row>
    <row r="4" spans="1:13" ht="28.8" x14ac:dyDescent="0.3">
      <c r="A4" s="4" t="s">
        <v>283</v>
      </c>
      <c r="B4" s="5" t="s">
        <v>284</v>
      </c>
      <c r="C4" s="5" t="s">
        <v>86</v>
      </c>
      <c r="D4" s="5">
        <v>2</v>
      </c>
      <c r="E4" s="5">
        <v>5</v>
      </c>
      <c r="F4" s="5">
        <v>10</v>
      </c>
      <c r="G4" s="4" t="s">
        <v>273</v>
      </c>
      <c r="H4" s="5" t="s">
        <v>285</v>
      </c>
      <c r="I4" s="5" t="s">
        <v>286</v>
      </c>
      <c r="J4" s="5" t="s">
        <v>287</v>
      </c>
      <c r="K4" s="5" t="s">
        <v>319</v>
      </c>
      <c r="L4" s="20">
        <v>45973</v>
      </c>
      <c r="M4" s="5" t="s">
        <v>277</v>
      </c>
    </row>
    <row r="5" spans="1:13" ht="28.8" x14ac:dyDescent="0.3">
      <c r="A5" s="4" t="s">
        <v>288</v>
      </c>
      <c r="B5" s="5" t="s">
        <v>289</v>
      </c>
      <c r="C5" s="5" t="s">
        <v>272</v>
      </c>
      <c r="D5" s="5">
        <v>3</v>
      </c>
      <c r="E5" s="5">
        <v>3</v>
      </c>
      <c r="F5" s="5">
        <v>9</v>
      </c>
      <c r="G5" s="4" t="s">
        <v>290</v>
      </c>
      <c r="H5" s="5" t="s">
        <v>291</v>
      </c>
      <c r="I5" s="5" t="s">
        <v>292</v>
      </c>
      <c r="J5" s="5" t="s">
        <v>293</v>
      </c>
      <c r="K5" s="5" t="s">
        <v>320</v>
      </c>
      <c r="L5" s="20">
        <v>45973</v>
      </c>
      <c r="M5" s="5" t="s">
        <v>294</v>
      </c>
    </row>
    <row r="6" spans="1:13" ht="28.8" x14ac:dyDescent="0.3">
      <c r="A6" s="4" t="s">
        <v>295</v>
      </c>
      <c r="B6" s="5" t="s">
        <v>296</v>
      </c>
      <c r="C6" s="5" t="s">
        <v>297</v>
      </c>
      <c r="D6" s="5">
        <v>3</v>
      </c>
      <c r="E6" s="5">
        <v>4</v>
      </c>
      <c r="F6" s="5">
        <v>12</v>
      </c>
      <c r="G6" s="4" t="s">
        <v>273</v>
      </c>
      <c r="H6" s="5" t="s">
        <v>298</v>
      </c>
      <c r="I6" s="5" t="s">
        <v>299</v>
      </c>
      <c r="J6" s="5" t="s">
        <v>300</v>
      </c>
      <c r="K6" s="5" t="s">
        <v>318</v>
      </c>
      <c r="L6" s="20">
        <v>45973</v>
      </c>
      <c r="M6" s="5" t="s">
        <v>277</v>
      </c>
    </row>
    <row r="7" spans="1:13" x14ac:dyDescent="0.3">
      <c r="A7" s="4" t="s">
        <v>301</v>
      </c>
      <c r="B7" s="5" t="s">
        <v>302</v>
      </c>
      <c r="C7" s="5" t="s">
        <v>303</v>
      </c>
      <c r="D7" s="5">
        <v>4</v>
      </c>
      <c r="E7" s="5">
        <v>3</v>
      </c>
      <c r="F7" s="5">
        <v>12</v>
      </c>
      <c r="G7" s="4" t="s">
        <v>273</v>
      </c>
      <c r="H7" s="5" t="s">
        <v>304</v>
      </c>
      <c r="I7" s="5" t="s">
        <v>305</v>
      </c>
      <c r="J7" s="5" t="s">
        <v>306</v>
      </c>
      <c r="K7" s="5" t="s">
        <v>250</v>
      </c>
      <c r="L7" s="20">
        <v>45973</v>
      </c>
      <c r="M7" s="5" t="s">
        <v>307</v>
      </c>
    </row>
    <row r="8" spans="1:13" ht="28.8" x14ac:dyDescent="0.3">
      <c r="A8" s="4" t="s">
        <v>308</v>
      </c>
      <c r="B8" s="5" t="s">
        <v>309</v>
      </c>
      <c r="C8" s="5" t="s">
        <v>255</v>
      </c>
      <c r="D8" s="5">
        <v>3</v>
      </c>
      <c r="E8" s="5">
        <v>3</v>
      </c>
      <c r="F8" s="5">
        <v>9</v>
      </c>
      <c r="G8" s="4" t="s">
        <v>290</v>
      </c>
      <c r="H8" s="5" t="s">
        <v>310</v>
      </c>
      <c r="I8" s="5" t="s">
        <v>311</v>
      </c>
      <c r="J8" s="5" t="s">
        <v>312</v>
      </c>
      <c r="K8" s="5" t="s">
        <v>320</v>
      </c>
      <c r="L8" s="20">
        <v>45973</v>
      </c>
      <c r="M8" s="5" t="s">
        <v>294</v>
      </c>
    </row>
    <row r="9" spans="1:13" ht="28.8" x14ac:dyDescent="0.3">
      <c r="A9" s="4" t="s">
        <v>313</v>
      </c>
      <c r="B9" s="5" t="s">
        <v>314</v>
      </c>
      <c r="C9" s="5" t="s">
        <v>272</v>
      </c>
      <c r="D9" s="5">
        <v>2</v>
      </c>
      <c r="E9" s="5">
        <v>4</v>
      </c>
      <c r="F9" s="5">
        <v>8</v>
      </c>
      <c r="G9" s="4" t="s">
        <v>290</v>
      </c>
      <c r="H9" s="5" t="s">
        <v>315</v>
      </c>
      <c r="I9" s="5" t="s">
        <v>316</v>
      </c>
      <c r="J9" s="5" t="s">
        <v>317</v>
      </c>
      <c r="K9" s="5" t="s">
        <v>321</v>
      </c>
      <c r="L9" s="20">
        <v>45973</v>
      </c>
      <c r="M9" s="5" t="s">
        <v>277</v>
      </c>
    </row>
    <row r="10" spans="1:13" x14ac:dyDescent="0.3">
      <c r="F10" s="19">
        <f t="shared" ref="F10:F64" si="0">D10*E10</f>
        <v>0</v>
      </c>
    </row>
    <row r="11" spans="1:13" x14ac:dyDescent="0.3">
      <c r="F11" s="3">
        <f t="shared" si="0"/>
        <v>0</v>
      </c>
    </row>
    <row r="12" spans="1:13" x14ac:dyDescent="0.3">
      <c r="F12" s="3">
        <f t="shared" si="0"/>
        <v>0</v>
      </c>
    </row>
    <row r="13" spans="1:13" x14ac:dyDescent="0.3">
      <c r="F13" s="3">
        <f t="shared" si="0"/>
        <v>0</v>
      </c>
    </row>
    <row r="14" spans="1:13" x14ac:dyDescent="0.3">
      <c r="F14" s="3">
        <f t="shared" si="0"/>
        <v>0</v>
      </c>
    </row>
    <row r="15" spans="1:13" x14ac:dyDescent="0.3">
      <c r="F15" s="3">
        <f t="shared" si="0"/>
        <v>0</v>
      </c>
    </row>
    <row r="16" spans="1:13" x14ac:dyDescent="0.3">
      <c r="F16" s="3">
        <f t="shared" si="0"/>
        <v>0</v>
      </c>
    </row>
    <row r="17" spans="6:6" x14ac:dyDescent="0.3">
      <c r="F17" s="3">
        <f t="shared" si="0"/>
        <v>0</v>
      </c>
    </row>
    <row r="18" spans="6:6" x14ac:dyDescent="0.3">
      <c r="F18" s="3">
        <f t="shared" si="0"/>
        <v>0</v>
      </c>
    </row>
    <row r="19" spans="6:6" x14ac:dyDescent="0.3">
      <c r="F19" s="3">
        <f t="shared" si="0"/>
        <v>0</v>
      </c>
    </row>
    <row r="20" spans="6:6" x14ac:dyDescent="0.3">
      <c r="F20" s="3">
        <f t="shared" si="0"/>
        <v>0</v>
      </c>
    </row>
    <row r="21" spans="6:6" x14ac:dyDescent="0.3">
      <c r="F21" s="3">
        <f t="shared" si="0"/>
        <v>0</v>
      </c>
    </row>
    <row r="22" spans="6:6" x14ac:dyDescent="0.3">
      <c r="F22" s="3">
        <f t="shared" si="0"/>
        <v>0</v>
      </c>
    </row>
    <row r="23" spans="6:6" x14ac:dyDescent="0.3">
      <c r="F23" s="3">
        <f t="shared" si="0"/>
        <v>0</v>
      </c>
    </row>
    <row r="24" spans="6:6" x14ac:dyDescent="0.3">
      <c r="F24" s="3">
        <f t="shared" si="0"/>
        <v>0</v>
      </c>
    </row>
    <row r="25" spans="6:6" x14ac:dyDescent="0.3">
      <c r="F25" s="3">
        <f t="shared" si="0"/>
        <v>0</v>
      </c>
    </row>
    <row r="26" spans="6:6" x14ac:dyDescent="0.3">
      <c r="F26" s="3">
        <f t="shared" si="0"/>
        <v>0</v>
      </c>
    </row>
    <row r="27" spans="6:6" x14ac:dyDescent="0.3">
      <c r="F27" s="3">
        <f t="shared" si="0"/>
        <v>0</v>
      </c>
    </row>
    <row r="28" spans="6:6" x14ac:dyDescent="0.3">
      <c r="F28" s="3">
        <f t="shared" si="0"/>
        <v>0</v>
      </c>
    </row>
    <row r="29" spans="6:6" x14ac:dyDescent="0.3">
      <c r="F29" s="3">
        <f t="shared" si="0"/>
        <v>0</v>
      </c>
    </row>
    <row r="30" spans="6:6" x14ac:dyDescent="0.3">
      <c r="F30" s="3">
        <f t="shared" si="0"/>
        <v>0</v>
      </c>
    </row>
    <row r="31" spans="6:6" x14ac:dyDescent="0.3">
      <c r="F31" s="3">
        <f t="shared" si="0"/>
        <v>0</v>
      </c>
    </row>
    <row r="32" spans="6:6" x14ac:dyDescent="0.3">
      <c r="F32" s="3">
        <f t="shared" si="0"/>
        <v>0</v>
      </c>
    </row>
    <row r="33" spans="6:6" x14ac:dyDescent="0.3">
      <c r="F33" s="3">
        <f t="shared" si="0"/>
        <v>0</v>
      </c>
    </row>
    <row r="34" spans="6:6" x14ac:dyDescent="0.3">
      <c r="F34" s="3">
        <f t="shared" si="0"/>
        <v>0</v>
      </c>
    </row>
    <row r="35" spans="6:6" x14ac:dyDescent="0.3">
      <c r="F35" s="3">
        <f t="shared" si="0"/>
        <v>0</v>
      </c>
    </row>
    <row r="36" spans="6:6" x14ac:dyDescent="0.3">
      <c r="F36" s="3">
        <f t="shared" si="0"/>
        <v>0</v>
      </c>
    </row>
    <row r="37" spans="6:6" x14ac:dyDescent="0.3">
      <c r="F37" s="3">
        <f t="shared" si="0"/>
        <v>0</v>
      </c>
    </row>
    <row r="38" spans="6:6" x14ac:dyDescent="0.3">
      <c r="F38" s="3">
        <f t="shared" si="0"/>
        <v>0</v>
      </c>
    </row>
    <row r="39" spans="6:6" x14ac:dyDescent="0.3">
      <c r="F39" s="3">
        <f t="shared" si="0"/>
        <v>0</v>
      </c>
    </row>
    <row r="40" spans="6:6" x14ac:dyDescent="0.3">
      <c r="F40" s="3">
        <f t="shared" si="0"/>
        <v>0</v>
      </c>
    </row>
    <row r="41" spans="6:6" x14ac:dyDescent="0.3">
      <c r="F41" s="3">
        <f t="shared" si="0"/>
        <v>0</v>
      </c>
    </row>
    <row r="42" spans="6:6" x14ac:dyDescent="0.3">
      <c r="F42" s="3">
        <f t="shared" si="0"/>
        <v>0</v>
      </c>
    </row>
    <row r="43" spans="6:6" x14ac:dyDescent="0.3">
      <c r="F43" s="3">
        <f t="shared" si="0"/>
        <v>0</v>
      </c>
    </row>
    <row r="44" spans="6:6" x14ac:dyDescent="0.3">
      <c r="F44" s="3">
        <f t="shared" si="0"/>
        <v>0</v>
      </c>
    </row>
    <row r="45" spans="6:6" x14ac:dyDescent="0.3">
      <c r="F45" s="3">
        <f t="shared" si="0"/>
        <v>0</v>
      </c>
    </row>
    <row r="46" spans="6:6" x14ac:dyDescent="0.3">
      <c r="F46" s="3">
        <f t="shared" si="0"/>
        <v>0</v>
      </c>
    </row>
    <row r="47" spans="6:6" x14ac:dyDescent="0.3">
      <c r="F47" s="3">
        <f t="shared" si="0"/>
        <v>0</v>
      </c>
    </row>
    <row r="48" spans="6:6" x14ac:dyDescent="0.3">
      <c r="F48" s="3">
        <f t="shared" si="0"/>
        <v>0</v>
      </c>
    </row>
    <row r="49" spans="6:6" x14ac:dyDescent="0.3">
      <c r="F49" s="3">
        <f t="shared" si="0"/>
        <v>0</v>
      </c>
    </row>
    <row r="50" spans="6:6" x14ac:dyDescent="0.3">
      <c r="F50" s="3">
        <f t="shared" si="0"/>
        <v>0</v>
      </c>
    </row>
    <row r="51" spans="6:6" x14ac:dyDescent="0.3">
      <c r="F51" s="3">
        <f t="shared" si="0"/>
        <v>0</v>
      </c>
    </row>
    <row r="52" spans="6:6" x14ac:dyDescent="0.3">
      <c r="F52" s="3">
        <f t="shared" si="0"/>
        <v>0</v>
      </c>
    </row>
    <row r="53" spans="6:6" x14ac:dyDescent="0.3">
      <c r="F53" s="3">
        <f t="shared" si="0"/>
        <v>0</v>
      </c>
    </row>
    <row r="54" spans="6:6" x14ac:dyDescent="0.3">
      <c r="F54" s="3">
        <f t="shared" si="0"/>
        <v>0</v>
      </c>
    </row>
    <row r="55" spans="6:6" x14ac:dyDescent="0.3">
      <c r="F55" s="3">
        <f t="shared" si="0"/>
        <v>0</v>
      </c>
    </row>
    <row r="56" spans="6:6" x14ac:dyDescent="0.3">
      <c r="F56" s="3">
        <f t="shared" si="0"/>
        <v>0</v>
      </c>
    </row>
    <row r="57" spans="6:6" x14ac:dyDescent="0.3">
      <c r="F57" s="3">
        <f t="shared" si="0"/>
        <v>0</v>
      </c>
    </row>
    <row r="58" spans="6:6" x14ac:dyDescent="0.3">
      <c r="F58" s="3">
        <f t="shared" si="0"/>
        <v>0</v>
      </c>
    </row>
    <row r="59" spans="6:6" x14ac:dyDescent="0.3">
      <c r="F59" s="3">
        <f t="shared" si="0"/>
        <v>0</v>
      </c>
    </row>
    <row r="60" spans="6:6" x14ac:dyDescent="0.3">
      <c r="F60" s="3">
        <f t="shared" si="0"/>
        <v>0</v>
      </c>
    </row>
    <row r="61" spans="6:6" x14ac:dyDescent="0.3">
      <c r="F61" s="3">
        <f t="shared" si="0"/>
        <v>0</v>
      </c>
    </row>
    <row r="62" spans="6:6" x14ac:dyDescent="0.3">
      <c r="F62" s="3">
        <f t="shared" si="0"/>
        <v>0</v>
      </c>
    </row>
    <row r="63" spans="6:6" x14ac:dyDescent="0.3">
      <c r="F63" s="3">
        <f t="shared" si="0"/>
        <v>0</v>
      </c>
    </row>
    <row r="64" spans="6:6" x14ac:dyDescent="0.3">
      <c r="F64" s="3">
        <f t="shared" si="0"/>
        <v>0</v>
      </c>
    </row>
    <row r="65" spans="6:6" x14ac:dyDescent="0.3">
      <c r="F65" s="3">
        <f t="shared" ref="F65:F128" si="1">D65*E65</f>
        <v>0</v>
      </c>
    </row>
    <row r="66" spans="6:6" x14ac:dyDescent="0.3">
      <c r="F66" s="3">
        <f t="shared" si="1"/>
        <v>0</v>
      </c>
    </row>
    <row r="67" spans="6:6" x14ac:dyDescent="0.3">
      <c r="F67" s="3">
        <f t="shared" si="1"/>
        <v>0</v>
      </c>
    </row>
    <row r="68" spans="6:6" x14ac:dyDescent="0.3">
      <c r="F68" s="3">
        <f t="shared" si="1"/>
        <v>0</v>
      </c>
    </row>
    <row r="69" spans="6:6" x14ac:dyDescent="0.3">
      <c r="F69" s="3">
        <f t="shared" si="1"/>
        <v>0</v>
      </c>
    </row>
    <row r="70" spans="6:6" x14ac:dyDescent="0.3">
      <c r="F70" s="3">
        <f t="shared" si="1"/>
        <v>0</v>
      </c>
    </row>
    <row r="71" spans="6:6" x14ac:dyDescent="0.3">
      <c r="F71" s="3">
        <f t="shared" si="1"/>
        <v>0</v>
      </c>
    </row>
    <row r="72" spans="6:6" x14ac:dyDescent="0.3">
      <c r="F72" s="3">
        <f t="shared" si="1"/>
        <v>0</v>
      </c>
    </row>
    <row r="73" spans="6:6" x14ac:dyDescent="0.3">
      <c r="F73" s="3">
        <f t="shared" si="1"/>
        <v>0</v>
      </c>
    </row>
    <row r="74" spans="6:6" x14ac:dyDescent="0.3">
      <c r="F74" s="3">
        <f t="shared" si="1"/>
        <v>0</v>
      </c>
    </row>
    <row r="75" spans="6:6" x14ac:dyDescent="0.3">
      <c r="F75" s="3">
        <f t="shared" si="1"/>
        <v>0</v>
      </c>
    </row>
    <row r="76" spans="6:6" x14ac:dyDescent="0.3">
      <c r="F76" s="3">
        <f t="shared" si="1"/>
        <v>0</v>
      </c>
    </row>
    <row r="77" spans="6:6" x14ac:dyDescent="0.3">
      <c r="F77" s="3">
        <f t="shared" si="1"/>
        <v>0</v>
      </c>
    </row>
    <row r="78" spans="6:6" x14ac:dyDescent="0.3">
      <c r="F78" s="3">
        <f t="shared" si="1"/>
        <v>0</v>
      </c>
    </row>
    <row r="79" spans="6:6" x14ac:dyDescent="0.3">
      <c r="F79" s="3">
        <f t="shared" si="1"/>
        <v>0</v>
      </c>
    </row>
    <row r="80" spans="6:6" x14ac:dyDescent="0.3">
      <c r="F80" s="3">
        <f t="shared" si="1"/>
        <v>0</v>
      </c>
    </row>
    <row r="81" spans="6:6" x14ac:dyDescent="0.3">
      <c r="F81" s="3">
        <f t="shared" si="1"/>
        <v>0</v>
      </c>
    </row>
    <row r="82" spans="6:6" x14ac:dyDescent="0.3">
      <c r="F82" s="3">
        <f t="shared" si="1"/>
        <v>0</v>
      </c>
    </row>
    <row r="83" spans="6:6" x14ac:dyDescent="0.3">
      <c r="F83" s="3">
        <f t="shared" si="1"/>
        <v>0</v>
      </c>
    </row>
    <row r="84" spans="6:6" x14ac:dyDescent="0.3">
      <c r="F84" s="3">
        <f t="shared" si="1"/>
        <v>0</v>
      </c>
    </row>
    <row r="85" spans="6:6" x14ac:dyDescent="0.3">
      <c r="F85" s="3">
        <f t="shared" si="1"/>
        <v>0</v>
      </c>
    </row>
    <row r="86" spans="6:6" x14ac:dyDescent="0.3">
      <c r="F86" s="3">
        <f t="shared" si="1"/>
        <v>0</v>
      </c>
    </row>
    <row r="87" spans="6:6" x14ac:dyDescent="0.3">
      <c r="F87" s="3">
        <f t="shared" si="1"/>
        <v>0</v>
      </c>
    </row>
    <row r="88" spans="6:6" x14ac:dyDescent="0.3">
      <c r="F88" s="3">
        <f t="shared" si="1"/>
        <v>0</v>
      </c>
    </row>
    <row r="89" spans="6:6" x14ac:dyDescent="0.3">
      <c r="F89" s="3">
        <f t="shared" si="1"/>
        <v>0</v>
      </c>
    </row>
    <row r="90" spans="6:6" x14ac:dyDescent="0.3">
      <c r="F90" s="3">
        <f t="shared" si="1"/>
        <v>0</v>
      </c>
    </row>
    <row r="91" spans="6:6" x14ac:dyDescent="0.3">
      <c r="F91" s="3">
        <f t="shared" si="1"/>
        <v>0</v>
      </c>
    </row>
    <row r="92" spans="6:6" x14ac:dyDescent="0.3">
      <c r="F92" s="3">
        <f t="shared" si="1"/>
        <v>0</v>
      </c>
    </row>
    <row r="93" spans="6:6" x14ac:dyDescent="0.3">
      <c r="F93" s="3">
        <f t="shared" si="1"/>
        <v>0</v>
      </c>
    </row>
    <row r="94" spans="6:6" x14ac:dyDescent="0.3">
      <c r="F94" s="3">
        <f t="shared" si="1"/>
        <v>0</v>
      </c>
    </row>
    <row r="95" spans="6:6" x14ac:dyDescent="0.3">
      <c r="F95" s="3">
        <f t="shared" si="1"/>
        <v>0</v>
      </c>
    </row>
    <row r="96" spans="6:6" x14ac:dyDescent="0.3">
      <c r="F96" s="3">
        <f t="shared" si="1"/>
        <v>0</v>
      </c>
    </row>
    <row r="97" spans="6:6" x14ac:dyDescent="0.3">
      <c r="F97" s="3">
        <f t="shared" si="1"/>
        <v>0</v>
      </c>
    </row>
    <row r="98" spans="6:6" x14ac:dyDescent="0.3">
      <c r="F98" s="3">
        <f t="shared" si="1"/>
        <v>0</v>
      </c>
    </row>
    <row r="99" spans="6:6" x14ac:dyDescent="0.3">
      <c r="F99" s="3">
        <f t="shared" si="1"/>
        <v>0</v>
      </c>
    </row>
    <row r="100" spans="6:6" x14ac:dyDescent="0.3">
      <c r="F100" s="3">
        <f t="shared" si="1"/>
        <v>0</v>
      </c>
    </row>
    <row r="101" spans="6:6" x14ac:dyDescent="0.3">
      <c r="F101" s="3">
        <f t="shared" si="1"/>
        <v>0</v>
      </c>
    </row>
    <row r="102" spans="6:6" x14ac:dyDescent="0.3">
      <c r="F102" s="3">
        <f t="shared" si="1"/>
        <v>0</v>
      </c>
    </row>
    <row r="103" spans="6:6" x14ac:dyDescent="0.3">
      <c r="F103" s="3">
        <f t="shared" si="1"/>
        <v>0</v>
      </c>
    </row>
    <row r="104" spans="6:6" x14ac:dyDescent="0.3">
      <c r="F104" s="3">
        <f t="shared" si="1"/>
        <v>0</v>
      </c>
    </row>
    <row r="105" spans="6:6" x14ac:dyDescent="0.3">
      <c r="F105" s="3">
        <f t="shared" si="1"/>
        <v>0</v>
      </c>
    </row>
    <row r="106" spans="6:6" x14ac:dyDescent="0.3">
      <c r="F106" s="3">
        <f t="shared" si="1"/>
        <v>0</v>
      </c>
    </row>
    <row r="107" spans="6:6" x14ac:dyDescent="0.3">
      <c r="F107" s="3">
        <f t="shared" si="1"/>
        <v>0</v>
      </c>
    </row>
    <row r="108" spans="6:6" x14ac:dyDescent="0.3">
      <c r="F108" s="3">
        <f t="shared" si="1"/>
        <v>0</v>
      </c>
    </row>
    <row r="109" spans="6:6" x14ac:dyDescent="0.3">
      <c r="F109" s="3">
        <f t="shared" si="1"/>
        <v>0</v>
      </c>
    </row>
    <row r="110" spans="6:6" x14ac:dyDescent="0.3">
      <c r="F110" s="3">
        <f t="shared" si="1"/>
        <v>0</v>
      </c>
    </row>
    <row r="111" spans="6:6" x14ac:dyDescent="0.3">
      <c r="F111" s="3">
        <f t="shared" si="1"/>
        <v>0</v>
      </c>
    </row>
    <row r="112" spans="6:6" x14ac:dyDescent="0.3">
      <c r="F112" s="3">
        <f t="shared" si="1"/>
        <v>0</v>
      </c>
    </row>
    <row r="113" spans="6:6" x14ac:dyDescent="0.3">
      <c r="F113" s="3">
        <f t="shared" si="1"/>
        <v>0</v>
      </c>
    </row>
    <row r="114" spans="6:6" x14ac:dyDescent="0.3">
      <c r="F114" s="3">
        <f t="shared" si="1"/>
        <v>0</v>
      </c>
    </row>
    <row r="115" spans="6:6" x14ac:dyDescent="0.3">
      <c r="F115" s="3">
        <f t="shared" si="1"/>
        <v>0</v>
      </c>
    </row>
    <row r="116" spans="6:6" x14ac:dyDescent="0.3">
      <c r="F116" s="3">
        <f t="shared" si="1"/>
        <v>0</v>
      </c>
    </row>
    <row r="117" spans="6:6" x14ac:dyDescent="0.3">
      <c r="F117" s="3">
        <f t="shared" si="1"/>
        <v>0</v>
      </c>
    </row>
    <row r="118" spans="6:6" x14ac:dyDescent="0.3">
      <c r="F118" s="3">
        <f t="shared" si="1"/>
        <v>0</v>
      </c>
    </row>
    <row r="119" spans="6:6" x14ac:dyDescent="0.3">
      <c r="F119" s="3">
        <f t="shared" si="1"/>
        <v>0</v>
      </c>
    </row>
    <row r="120" spans="6:6" x14ac:dyDescent="0.3">
      <c r="F120" s="3">
        <f t="shared" si="1"/>
        <v>0</v>
      </c>
    </row>
    <row r="121" spans="6:6" x14ac:dyDescent="0.3">
      <c r="F121" s="3">
        <f t="shared" si="1"/>
        <v>0</v>
      </c>
    </row>
    <row r="122" spans="6:6" x14ac:dyDescent="0.3">
      <c r="F122" s="3">
        <f t="shared" si="1"/>
        <v>0</v>
      </c>
    </row>
    <row r="123" spans="6:6" x14ac:dyDescent="0.3">
      <c r="F123" s="3">
        <f t="shared" si="1"/>
        <v>0</v>
      </c>
    </row>
    <row r="124" spans="6:6" x14ac:dyDescent="0.3">
      <c r="F124" s="3">
        <f t="shared" si="1"/>
        <v>0</v>
      </c>
    </row>
    <row r="125" spans="6:6" x14ac:dyDescent="0.3">
      <c r="F125" s="3">
        <f t="shared" si="1"/>
        <v>0</v>
      </c>
    </row>
    <row r="126" spans="6:6" x14ac:dyDescent="0.3">
      <c r="F126" s="3">
        <f t="shared" si="1"/>
        <v>0</v>
      </c>
    </row>
    <row r="127" spans="6:6" x14ac:dyDescent="0.3">
      <c r="F127" s="3">
        <f t="shared" si="1"/>
        <v>0</v>
      </c>
    </row>
    <row r="128" spans="6:6" x14ac:dyDescent="0.3">
      <c r="F128" s="3">
        <f t="shared" si="1"/>
        <v>0</v>
      </c>
    </row>
    <row r="129" spans="6:6" x14ac:dyDescent="0.3">
      <c r="F129" s="3">
        <f t="shared" ref="F129:F192" si="2">D129*E129</f>
        <v>0</v>
      </c>
    </row>
    <row r="130" spans="6:6" x14ac:dyDescent="0.3">
      <c r="F130" s="3">
        <f t="shared" si="2"/>
        <v>0</v>
      </c>
    </row>
    <row r="131" spans="6:6" x14ac:dyDescent="0.3">
      <c r="F131" s="3">
        <f t="shared" si="2"/>
        <v>0</v>
      </c>
    </row>
    <row r="132" spans="6:6" x14ac:dyDescent="0.3">
      <c r="F132" s="3">
        <f t="shared" si="2"/>
        <v>0</v>
      </c>
    </row>
    <row r="133" spans="6:6" x14ac:dyDescent="0.3">
      <c r="F133" s="3">
        <f t="shared" si="2"/>
        <v>0</v>
      </c>
    </row>
    <row r="134" spans="6:6" x14ac:dyDescent="0.3">
      <c r="F134" s="3">
        <f t="shared" si="2"/>
        <v>0</v>
      </c>
    </row>
    <row r="135" spans="6:6" x14ac:dyDescent="0.3">
      <c r="F135" s="3">
        <f t="shared" si="2"/>
        <v>0</v>
      </c>
    </row>
    <row r="136" spans="6:6" x14ac:dyDescent="0.3">
      <c r="F136" s="3">
        <f t="shared" si="2"/>
        <v>0</v>
      </c>
    </row>
    <row r="137" spans="6:6" x14ac:dyDescent="0.3">
      <c r="F137" s="3">
        <f t="shared" si="2"/>
        <v>0</v>
      </c>
    </row>
    <row r="138" spans="6:6" x14ac:dyDescent="0.3">
      <c r="F138" s="3">
        <f t="shared" si="2"/>
        <v>0</v>
      </c>
    </row>
    <row r="139" spans="6:6" x14ac:dyDescent="0.3">
      <c r="F139" s="3">
        <f t="shared" si="2"/>
        <v>0</v>
      </c>
    </row>
    <row r="140" spans="6:6" x14ac:dyDescent="0.3">
      <c r="F140" s="3">
        <f t="shared" si="2"/>
        <v>0</v>
      </c>
    </row>
    <row r="141" spans="6:6" x14ac:dyDescent="0.3">
      <c r="F141" s="3">
        <f t="shared" si="2"/>
        <v>0</v>
      </c>
    </row>
    <row r="142" spans="6:6" x14ac:dyDescent="0.3">
      <c r="F142" s="3">
        <f t="shared" si="2"/>
        <v>0</v>
      </c>
    </row>
    <row r="143" spans="6:6" x14ac:dyDescent="0.3">
      <c r="F143" s="3">
        <f t="shared" si="2"/>
        <v>0</v>
      </c>
    </row>
    <row r="144" spans="6:6" x14ac:dyDescent="0.3">
      <c r="F144" s="3">
        <f t="shared" si="2"/>
        <v>0</v>
      </c>
    </row>
    <row r="145" spans="6:6" x14ac:dyDescent="0.3">
      <c r="F145" s="3">
        <f t="shared" si="2"/>
        <v>0</v>
      </c>
    </row>
    <row r="146" spans="6:6" x14ac:dyDescent="0.3">
      <c r="F146" s="3">
        <f t="shared" si="2"/>
        <v>0</v>
      </c>
    </row>
    <row r="147" spans="6:6" x14ac:dyDescent="0.3">
      <c r="F147" s="3">
        <f t="shared" si="2"/>
        <v>0</v>
      </c>
    </row>
    <row r="148" spans="6:6" x14ac:dyDescent="0.3">
      <c r="F148" s="3">
        <f t="shared" si="2"/>
        <v>0</v>
      </c>
    </row>
    <row r="149" spans="6:6" x14ac:dyDescent="0.3">
      <c r="F149" s="3">
        <f t="shared" si="2"/>
        <v>0</v>
      </c>
    </row>
    <row r="150" spans="6:6" x14ac:dyDescent="0.3">
      <c r="F150" s="3">
        <f t="shared" si="2"/>
        <v>0</v>
      </c>
    </row>
    <row r="151" spans="6:6" x14ac:dyDescent="0.3">
      <c r="F151" s="3">
        <f t="shared" si="2"/>
        <v>0</v>
      </c>
    </row>
    <row r="152" spans="6:6" x14ac:dyDescent="0.3">
      <c r="F152" s="3">
        <f t="shared" si="2"/>
        <v>0</v>
      </c>
    </row>
    <row r="153" spans="6:6" x14ac:dyDescent="0.3">
      <c r="F153" s="3">
        <f t="shared" si="2"/>
        <v>0</v>
      </c>
    </row>
    <row r="154" spans="6:6" x14ac:dyDescent="0.3">
      <c r="F154" s="3">
        <f t="shared" si="2"/>
        <v>0</v>
      </c>
    </row>
    <row r="155" spans="6:6" x14ac:dyDescent="0.3">
      <c r="F155" s="3">
        <f t="shared" si="2"/>
        <v>0</v>
      </c>
    </row>
    <row r="156" spans="6:6" x14ac:dyDescent="0.3">
      <c r="F156" s="3">
        <f t="shared" si="2"/>
        <v>0</v>
      </c>
    </row>
    <row r="157" spans="6:6" x14ac:dyDescent="0.3">
      <c r="F157" s="3">
        <f t="shared" si="2"/>
        <v>0</v>
      </c>
    </row>
    <row r="158" spans="6:6" x14ac:dyDescent="0.3">
      <c r="F158" s="3">
        <f t="shared" si="2"/>
        <v>0</v>
      </c>
    </row>
    <row r="159" spans="6:6" x14ac:dyDescent="0.3">
      <c r="F159" s="3">
        <f t="shared" si="2"/>
        <v>0</v>
      </c>
    </row>
    <row r="160" spans="6:6" x14ac:dyDescent="0.3">
      <c r="F160" s="3">
        <f t="shared" si="2"/>
        <v>0</v>
      </c>
    </row>
    <row r="161" spans="6:6" x14ac:dyDescent="0.3">
      <c r="F161" s="3">
        <f t="shared" si="2"/>
        <v>0</v>
      </c>
    </row>
    <row r="162" spans="6:6" x14ac:dyDescent="0.3">
      <c r="F162" s="3">
        <f t="shared" si="2"/>
        <v>0</v>
      </c>
    </row>
    <row r="163" spans="6:6" x14ac:dyDescent="0.3">
      <c r="F163" s="3">
        <f t="shared" si="2"/>
        <v>0</v>
      </c>
    </row>
    <row r="164" spans="6:6" x14ac:dyDescent="0.3">
      <c r="F164" s="3">
        <f t="shared" si="2"/>
        <v>0</v>
      </c>
    </row>
    <row r="165" spans="6:6" x14ac:dyDescent="0.3">
      <c r="F165" s="3">
        <f t="shared" si="2"/>
        <v>0</v>
      </c>
    </row>
    <row r="166" spans="6:6" x14ac:dyDescent="0.3">
      <c r="F166" s="3">
        <f t="shared" si="2"/>
        <v>0</v>
      </c>
    </row>
    <row r="167" spans="6:6" x14ac:dyDescent="0.3">
      <c r="F167" s="3">
        <f t="shared" si="2"/>
        <v>0</v>
      </c>
    </row>
    <row r="168" spans="6:6" x14ac:dyDescent="0.3">
      <c r="F168" s="3">
        <f t="shared" si="2"/>
        <v>0</v>
      </c>
    </row>
    <row r="169" spans="6:6" x14ac:dyDescent="0.3">
      <c r="F169" s="3">
        <f t="shared" si="2"/>
        <v>0</v>
      </c>
    </row>
    <row r="170" spans="6:6" x14ac:dyDescent="0.3">
      <c r="F170" s="3">
        <f t="shared" si="2"/>
        <v>0</v>
      </c>
    </row>
    <row r="171" spans="6:6" x14ac:dyDescent="0.3">
      <c r="F171" s="3">
        <f t="shared" si="2"/>
        <v>0</v>
      </c>
    </row>
    <row r="172" spans="6:6" x14ac:dyDescent="0.3">
      <c r="F172" s="3">
        <f t="shared" si="2"/>
        <v>0</v>
      </c>
    </row>
    <row r="173" spans="6:6" x14ac:dyDescent="0.3">
      <c r="F173" s="3">
        <f t="shared" si="2"/>
        <v>0</v>
      </c>
    </row>
    <row r="174" spans="6:6" x14ac:dyDescent="0.3">
      <c r="F174" s="3">
        <f t="shared" si="2"/>
        <v>0</v>
      </c>
    </row>
    <row r="175" spans="6:6" x14ac:dyDescent="0.3">
      <c r="F175" s="3">
        <f t="shared" si="2"/>
        <v>0</v>
      </c>
    </row>
    <row r="176" spans="6:6" x14ac:dyDescent="0.3">
      <c r="F176" s="3">
        <f t="shared" si="2"/>
        <v>0</v>
      </c>
    </row>
    <row r="177" spans="6:6" x14ac:dyDescent="0.3">
      <c r="F177" s="3">
        <f t="shared" si="2"/>
        <v>0</v>
      </c>
    </row>
    <row r="178" spans="6:6" x14ac:dyDescent="0.3">
      <c r="F178" s="3">
        <f t="shared" si="2"/>
        <v>0</v>
      </c>
    </row>
    <row r="179" spans="6:6" x14ac:dyDescent="0.3">
      <c r="F179" s="3">
        <f t="shared" si="2"/>
        <v>0</v>
      </c>
    </row>
    <row r="180" spans="6:6" x14ac:dyDescent="0.3">
      <c r="F180" s="3">
        <f t="shared" si="2"/>
        <v>0</v>
      </c>
    </row>
    <row r="181" spans="6:6" x14ac:dyDescent="0.3">
      <c r="F181" s="3">
        <f t="shared" si="2"/>
        <v>0</v>
      </c>
    </row>
    <row r="182" spans="6:6" x14ac:dyDescent="0.3">
      <c r="F182" s="3">
        <f t="shared" si="2"/>
        <v>0</v>
      </c>
    </row>
    <row r="183" spans="6:6" x14ac:dyDescent="0.3">
      <c r="F183" s="3">
        <f t="shared" si="2"/>
        <v>0</v>
      </c>
    </row>
    <row r="184" spans="6:6" x14ac:dyDescent="0.3">
      <c r="F184" s="3">
        <f t="shared" si="2"/>
        <v>0</v>
      </c>
    </row>
    <row r="185" spans="6:6" x14ac:dyDescent="0.3">
      <c r="F185" s="3">
        <f t="shared" si="2"/>
        <v>0</v>
      </c>
    </row>
    <row r="186" spans="6:6" x14ac:dyDescent="0.3">
      <c r="F186" s="3">
        <f t="shared" si="2"/>
        <v>0</v>
      </c>
    </row>
    <row r="187" spans="6:6" x14ac:dyDescent="0.3">
      <c r="F187" s="3">
        <f t="shared" si="2"/>
        <v>0</v>
      </c>
    </row>
    <row r="188" spans="6:6" x14ac:dyDescent="0.3">
      <c r="F188" s="3">
        <f t="shared" si="2"/>
        <v>0</v>
      </c>
    </row>
    <row r="189" spans="6:6" x14ac:dyDescent="0.3">
      <c r="F189" s="3">
        <f t="shared" si="2"/>
        <v>0</v>
      </c>
    </row>
    <row r="190" spans="6:6" x14ac:dyDescent="0.3">
      <c r="F190" s="3">
        <f t="shared" si="2"/>
        <v>0</v>
      </c>
    </row>
    <row r="191" spans="6:6" x14ac:dyDescent="0.3">
      <c r="F191" s="3">
        <f t="shared" si="2"/>
        <v>0</v>
      </c>
    </row>
    <row r="192" spans="6:6" x14ac:dyDescent="0.3">
      <c r="F192" s="3">
        <f t="shared" si="2"/>
        <v>0</v>
      </c>
    </row>
    <row r="193" spans="6:6" x14ac:dyDescent="0.3">
      <c r="F193" s="3">
        <f t="shared" ref="F193:F256" si="3">D193*E193</f>
        <v>0</v>
      </c>
    </row>
    <row r="194" spans="6:6" x14ac:dyDescent="0.3">
      <c r="F194" s="3">
        <f t="shared" si="3"/>
        <v>0</v>
      </c>
    </row>
    <row r="195" spans="6:6" x14ac:dyDescent="0.3">
      <c r="F195" s="3">
        <f t="shared" si="3"/>
        <v>0</v>
      </c>
    </row>
    <row r="196" spans="6:6" x14ac:dyDescent="0.3">
      <c r="F196" s="3">
        <f t="shared" si="3"/>
        <v>0</v>
      </c>
    </row>
    <row r="197" spans="6:6" x14ac:dyDescent="0.3">
      <c r="F197" s="3">
        <f t="shared" si="3"/>
        <v>0</v>
      </c>
    </row>
    <row r="198" spans="6:6" x14ac:dyDescent="0.3">
      <c r="F198" s="3">
        <f t="shared" si="3"/>
        <v>0</v>
      </c>
    </row>
    <row r="199" spans="6:6" x14ac:dyDescent="0.3">
      <c r="F199" s="3">
        <f t="shared" si="3"/>
        <v>0</v>
      </c>
    </row>
    <row r="200" spans="6:6" x14ac:dyDescent="0.3">
      <c r="F200" s="3">
        <f t="shared" si="3"/>
        <v>0</v>
      </c>
    </row>
    <row r="201" spans="6:6" x14ac:dyDescent="0.3">
      <c r="F201" s="3">
        <f t="shared" si="3"/>
        <v>0</v>
      </c>
    </row>
    <row r="202" spans="6:6" x14ac:dyDescent="0.3">
      <c r="F202" s="3">
        <f t="shared" si="3"/>
        <v>0</v>
      </c>
    </row>
    <row r="203" spans="6:6" x14ac:dyDescent="0.3">
      <c r="F203" s="3">
        <f t="shared" si="3"/>
        <v>0</v>
      </c>
    </row>
    <row r="204" spans="6:6" x14ac:dyDescent="0.3">
      <c r="F204" s="3">
        <f t="shared" si="3"/>
        <v>0</v>
      </c>
    </row>
    <row r="205" spans="6:6" x14ac:dyDescent="0.3">
      <c r="F205" s="3">
        <f t="shared" si="3"/>
        <v>0</v>
      </c>
    </row>
    <row r="206" spans="6:6" x14ac:dyDescent="0.3">
      <c r="F206" s="3">
        <f t="shared" si="3"/>
        <v>0</v>
      </c>
    </row>
    <row r="207" spans="6:6" x14ac:dyDescent="0.3">
      <c r="F207" s="3">
        <f t="shared" si="3"/>
        <v>0</v>
      </c>
    </row>
    <row r="208" spans="6:6" x14ac:dyDescent="0.3">
      <c r="F208" s="3">
        <f t="shared" si="3"/>
        <v>0</v>
      </c>
    </row>
    <row r="209" spans="6:6" x14ac:dyDescent="0.3">
      <c r="F209" s="3">
        <f t="shared" si="3"/>
        <v>0</v>
      </c>
    </row>
    <row r="210" spans="6:6" x14ac:dyDescent="0.3">
      <c r="F210" s="3">
        <f t="shared" si="3"/>
        <v>0</v>
      </c>
    </row>
    <row r="211" spans="6:6" x14ac:dyDescent="0.3">
      <c r="F211" s="3">
        <f t="shared" si="3"/>
        <v>0</v>
      </c>
    </row>
    <row r="212" spans="6:6" x14ac:dyDescent="0.3">
      <c r="F212" s="3">
        <f t="shared" si="3"/>
        <v>0</v>
      </c>
    </row>
    <row r="213" spans="6:6" x14ac:dyDescent="0.3">
      <c r="F213" s="3">
        <f t="shared" si="3"/>
        <v>0</v>
      </c>
    </row>
    <row r="214" spans="6:6" x14ac:dyDescent="0.3">
      <c r="F214" s="3">
        <f t="shared" si="3"/>
        <v>0</v>
      </c>
    </row>
    <row r="215" spans="6:6" x14ac:dyDescent="0.3">
      <c r="F215" s="3">
        <f t="shared" si="3"/>
        <v>0</v>
      </c>
    </row>
    <row r="216" spans="6:6" x14ac:dyDescent="0.3">
      <c r="F216" s="3">
        <f t="shared" si="3"/>
        <v>0</v>
      </c>
    </row>
    <row r="217" spans="6:6" x14ac:dyDescent="0.3">
      <c r="F217" s="3">
        <f t="shared" si="3"/>
        <v>0</v>
      </c>
    </row>
    <row r="218" spans="6:6" x14ac:dyDescent="0.3">
      <c r="F218" s="3">
        <f t="shared" si="3"/>
        <v>0</v>
      </c>
    </row>
    <row r="219" spans="6:6" x14ac:dyDescent="0.3">
      <c r="F219" s="3">
        <f t="shared" si="3"/>
        <v>0</v>
      </c>
    </row>
    <row r="220" spans="6:6" x14ac:dyDescent="0.3">
      <c r="F220" s="3">
        <f t="shared" si="3"/>
        <v>0</v>
      </c>
    </row>
    <row r="221" spans="6:6" x14ac:dyDescent="0.3">
      <c r="F221" s="3">
        <f t="shared" si="3"/>
        <v>0</v>
      </c>
    </row>
    <row r="222" spans="6:6" x14ac:dyDescent="0.3">
      <c r="F222" s="3">
        <f t="shared" si="3"/>
        <v>0</v>
      </c>
    </row>
    <row r="223" spans="6:6" x14ac:dyDescent="0.3">
      <c r="F223" s="3">
        <f t="shared" si="3"/>
        <v>0</v>
      </c>
    </row>
    <row r="224" spans="6:6" x14ac:dyDescent="0.3">
      <c r="F224" s="3">
        <f t="shared" si="3"/>
        <v>0</v>
      </c>
    </row>
    <row r="225" spans="6:6" x14ac:dyDescent="0.3">
      <c r="F225" s="3">
        <f t="shared" si="3"/>
        <v>0</v>
      </c>
    </row>
    <row r="226" spans="6:6" x14ac:dyDescent="0.3">
      <c r="F226" s="3">
        <f t="shared" si="3"/>
        <v>0</v>
      </c>
    </row>
    <row r="227" spans="6:6" x14ac:dyDescent="0.3">
      <c r="F227" s="3">
        <f t="shared" si="3"/>
        <v>0</v>
      </c>
    </row>
    <row r="228" spans="6:6" x14ac:dyDescent="0.3">
      <c r="F228" s="3">
        <f t="shared" si="3"/>
        <v>0</v>
      </c>
    </row>
    <row r="229" spans="6:6" x14ac:dyDescent="0.3">
      <c r="F229" s="3">
        <f t="shared" si="3"/>
        <v>0</v>
      </c>
    </row>
    <row r="230" spans="6:6" x14ac:dyDescent="0.3">
      <c r="F230" s="3">
        <f t="shared" si="3"/>
        <v>0</v>
      </c>
    </row>
    <row r="231" spans="6:6" x14ac:dyDescent="0.3">
      <c r="F231" s="3">
        <f t="shared" si="3"/>
        <v>0</v>
      </c>
    </row>
    <row r="232" spans="6:6" x14ac:dyDescent="0.3">
      <c r="F232" s="3">
        <f t="shared" si="3"/>
        <v>0</v>
      </c>
    </row>
    <row r="233" spans="6:6" x14ac:dyDescent="0.3">
      <c r="F233" s="3">
        <f t="shared" si="3"/>
        <v>0</v>
      </c>
    </row>
    <row r="234" spans="6:6" x14ac:dyDescent="0.3">
      <c r="F234" s="3">
        <f t="shared" si="3"/>
        <v>0</v>
      </c>
    </row>
    <row r="235" spans="6:6" x14ac:dyDescent="0.3">
      <c r="F235" s="3">
        <f t="shared" si="3"/>
        <v>0</v>
      </c>
    </row>
    <row r="236" spans="6:6" x14ac:dyDescent="0.3">
      <c r="F236" s="3">
        <f t="shared" si="3"/>
        <v>0</v>
      </c>
    </row>
    <row r="237" spans="6:6" x14ac:dyDescent="0.3">
      <c r="F237" s="3">
        <f t="shared" si="3"/>
        <v>0</v>
      </c>
    </row>
    <row r="238" spans="6:6" x14ac:dyDescent="0.3">
      <c r="F238" s="3">
        <f t="shared" si="3"/>
        <v>0</v>
      </c>
    </row>
    <row r="239" spans="6:6" x14ac:dyDescent="0.3">
      <c r="F239" s="3">
        <f t="shared" si="3"/>
        <v>0</v>
      </c>
    </row>
    <row r="240" spans="6:6" x14ac:dyDescent="0.3">
      <c r="F240" s="3">
        <f t="shared" si="3"/>
        <v>0</v>
      </c>
    </row>
    <row r="241" spans="6:6" x14ac:dyDescent="0.3">
      <c r="F241" s="3">
        <f t="shared" si="3"/>
        <v>0</v>
      </c>
    </row>
    <row r="242" spans="6:6" x14ac:dyDescent="0.3">
      <c r="F242" s="3">
        <f t="shared" si="3"/>
        <v>0</v>
      </c>
    </row>
    <row r="243" spans="6:6" x14ac:dyDescent="0.3">
      <c r="F243" s="3">
        <f t="shared" si="3"/>
        <v>0</v>
      </c>
    </row>
    <row r="244" spans="6:6" x14ac:dyDescent="0.3">
      <c r="F244" s="3">
        <f t="shared" si="3"/>
        <v>0</v>
      </c>
    </row>
    <row r="245" spans="6:6" x14ac:dyDescent="0.3">
      <c r="F245" s="3">
        <f t="shared" si="3"/>
        <v>0</v>
      </c>
    </row>
    <row r="246" spans="6:6" x14ac:dyDescent="0.3">
      <c r="F246" s="3">
        <f t="shared" si="3"/>
        <v>0</v>
      </c>
    </row>
    <row r="247" spans="6:6" x14ac:dyDescent="0.3">
      <c r="F247" s="3">
        <f t="shared" si="3"/>
        <v>0</v>
      </c>
    </row>
    <row r="248" spans="6:6" x14ac:dyDescent="0.3">
      <c r="F248" s="3">
        <f t="shared" si="3"/>
        <v>0</v>
      </c>
    </row>
    <row r="249" spans="6:6" x14ac:dyDescent="0.3">
      <c r="F249" s="3">
        <f t="shared" si="3"/>
        <v>0</v>
      </c>
    </row>
    <row r="250" spans="6:6" x14ac:dyDescent="0.3">
      <c r="F250" s="3">
        <f t="shared" si="3"/>
        <v>0</v>
      </c>
    </row>
    <row r="251" spans="6:6" x14ac:dyDescent="0.3">
      <c r="F251" s="3">
        <f t="shared" si="3"/>
        <v>0</v>
      </c>
    </row>
    <row r="252" spans="6:6" x14ac:dyDescent="0.3">
      <c r="F252" s="3">
        <f t="shared" si="3"/>
        <v>0</v>
      </c>
    </row>
    <row r="253" spans="6:6" x14ac:dyDescent="0.3">
      <c r="F253" s="3">
        <f t="shared" si="3"/>
        <v>0</v>
      </c>
    </row>
    <row r="254" spans="6:6" x14ac:dyDescent="0.3">
      <c r="F254" s="3">
        <f t="shared" si="3"/>
        <v>0</v>
      </c>
    </row>
    <row r="255" spans="6:6" x14ac:dyDescent="0.3">
      <c r="F255" s="3">
        <f t="shared" si="3"/>
        <v>0</v>
      </c>
    </row>
    <row r="256" spans="6:6" x14ac:dyDescent="0.3">
      <c r="F256" s="3">
        <f t="shared" si="3"/>
        <v>0</v>
      </c>
    </row>
    <row r="257" spans="6:6" x14ac:dyDescent="0.3">
      <c r="F257" s="3">
        <f t="shared" ref="F257:F320" si="4">D257*E257</f>
        <v>0</v>
      </c>
    </row>
    <row r="258" spans="6:6" x14ac:dyDescent="0.3">
      <c r="F258" s="3">
        <f t="shared" si="4"/>
        <v>0</v>
      </c>
    </row>
    <row r="259" spans="6:6" x14ac:dyDescent="0.3">
      <c r="F259" s="3">
        <f t="shared" si="4"/>
        <v>0</v>
      </c>
    </row>
    <row r="260" spans="6:6" x14ac:dyDescent="0.3">
      <c r="F260" s="3">
        <f t="shared" si="4"/>
        <v>0</v>
      </c>
    </row>
    <row r="261" spans="6:6" x14ac:dyDescent="0.3">
      <c r="F261" s="3">
        <f t="shared" si="4"/>
        <v>0</v>
      </c>
    </row>
    <row r="262" spans="6:6" x14ac:dyDescent="0.3">
      <c r="F262" s="3">
        <f t="shared" si="4"/>
        <v>0</v>
      </c>
    </row>
    <row r="263" spans="6:6" x14ac:dyDescent="0.3">
      <c r="F263" s="3">
        <f t="shared" si="4"/>
        <v>0</v>
      </c>
    </row>
    <row r="264" spans="6:6" x14ac:dyDescent="0.3">
      <c r="F264" s="3">
        <f t="shared" si="4"/>
        <v>0</v>
      </c>
    </row>
    <row r="265" spans="6:6" x14ac:dyDescent="0.3">
      <c r="F265" s="3">
        <f t="shared" si="4"/>
        <v>0</v>
      </c>
    </row>
    <row r="266" spans="6:6" x14ac:dyDescent="0.3">
      <c r="F266" s="3">
        <f t="shared" si="4"/>
        <v>0</v>
      </c>
    </row>
    <row r="267" spans="6:6" x14ac:dyDescent="0.3">
      <c r="F267" s="3">
        <f t="shared" si="4"/>
        <v>0</v>
      </c>
    </row>
    <row r="268" spans="6:6" x14ac:dyDescent="0.3">
      <c r="F268" s="3">
        <f t="shared" si="4"/>
        <v>0</v>
      </c>
    </row>
    <row r="269" spans="6:6" x14ac:dyDescent="0.3">
      <c r="F269" s="3">
        <f t="shared" si="4"/>
        <v>0</v>
      </c>
    </row>
    <row r="270" spans="6:6" x14ac:dyDescent="0.3">
      <c r="F270" s="3">
        <f t="shared" si="4"/>
        <v>0</v>
      </c>
    </row>
    <row r="271" spans="6:6" x14ac:dyDescent="0.3">
      <c r="F271" s="3">
        <f t="shared" si="4"/>
        <v>0</v>
      </c>
    </row>
    <row r="272" spans="6:6" x14ac:dyDescent="0.3">
      <c r="F272" s="3">
        <f t="shared" si="4"/>
        <v>0</v>
      </c>
    </row>
    <row r="273" spans="6:6" x14ac:dyDescent="0.3">
      <c r="F273" s="3">
        <f t="shared" si="4"/>
        <v>0</v>
      </c>
    </row>
    <row r="274" spans="6:6" x14ac:dyDescent="0.3">
      <c r="F274" s="3">
        <f t="shared" si="4"/>
        <v>0</v>
      </c>
    </row>
    <row r="275" spans="6:6" x14ac:dyDescent="0.3">
      <c r="F275" s="3">
        <f t="shared" si="4"/>
        <v>0</v>
      </c>
    </row>
    <row r="276" spans="6:6" x14ac:dyDescent="0.3">
      <c r="F276" s="3">
        <f t="shared" si="4"/>
        <v>0</v>
      </c>
    </row>
    <row r="277" spans="6:6" x14ac:dyDescent="0.3">
      <c r="F277" s="3">
        <f t="shared" si="4"/>
        <v>0</v>
      </c>
    </row>
    <row r="278" spans="6:6" x14ac:dyDescent="0.3">
      <c r="F278" s="3">
        <f t="shared" si="4"/>
        <v>0</v>
      </c>
    </row>
    <row r="279" spans="6:6" x14ac:dyDescent="0.3">
      <c r="F279" s="3">
        <f t="shared" si="4"/>
        <v>0</v>
      </c>
    </row>
    <row r="280" spans="6:6" x14ac:dyDescent="0.3">
      <c r="F280" s="3">
        <f t="shared" si="4"/>
        <v>0</v>
      </c>
    </row>
    <row r="281" spans="6:6" x14ac:dyDescent="0.3">
      <c r="F281" s="3">
        <f t="shared" si="4"/>
        <v>0</v>
      </c>
    </row>
    <row r="282" spans="6:6" x14ac:dyDescent="0.3">
      <c r="F282" s="3">
        <f t="shared" si="4"/>
        <v>0</v>
      </c>
    </row>
    <row r="283" spans="6:6" x14ac:dyDescent="0.3">
      <c r="F283" s="3">
        <f t="shared" si="4"/>
        <v>0</v>
      </c>
    </row>
    <row r="284" spans="6:6" x14ac:dyDescent="0.3">
      <c r="F284" s="3">
        <f t="shared" si="4"/>
        <v>0</v>
      </c>
    </row>
    <row r="285" spans="6:6" x14ac:dyDescent="0.3">
      <c r="F285" s="3">
        <f t="shared" si="4"/>
        <v>0</v>
      </c>
    </row>
    <row r="286" spans="6:6" x14ac:dyDescent="0.3">
      <c r="F286" s="3">
        <f t="shared" si="4"/>
        <v>0</v>
      </c>
    </row>
    <row r="287" spans="6:6" x14ac:dyDescent="0.3">
      <c r="F287" s="3">
        <f t="shared" si="4"/>
        <v>0</v>
      </c>
    </row>
    <row r="288" spans="6:6" x14ac:dyDescent="0.3">
      <c r="F288" s="3">
        <f t="shared" si="4"/>
        <v>0</v>
      </c>
    </row>
    <row r="289" spans="6:6" x14ac:dyDescent="0.3">
      <c r="F289" s="3">
        <f t="shared" si="4"/>
        <v>0</v>
      </c>
    </row>
    <row r="290" spans="6:6" x14ac:dyDescent="0.3">
      <c r="F290" s="3">
        <f t="shared" si="4"/>
        <v>0</v>
      </c>
    </row>
    <row r="291" spans="6:6" x14ac:dyDescent="0.3">
      <c r="F291" s="3">
        <f t="shared" si="4"/>
        <v>0</v>
      </c>
    </row>
    <row r="292" spans="6:6" x14ac:dyDescent="0.3">
      <c r="F292" s="3">
        <f t="shared" si="4"/>
        <v>0</v>
      </c>
    </row>
    <row r="293" spans="6:6" x14ac:dyDescent="0.3">
      <c r="F293" s="3">
        <f t="shared" si="4"/>
        <v>0</v>
      </c>
    </row>
    <row r="294" spans="6:6" x14ac:dyDescent="0.3">
      <c r="F294" s="3">
        <f t="shared" si="4"/>
        <v>0</v>
      </c>
    </row>
    <row r="295" spans="6:6" x14ac:dyDescent="0.3">
      <c r="F295" s="3">
        <f t="shared" si="4"/>
        <v>0</v>
      </c>
    </row>
    <row r="296" spans="6:6" x14ac:dyDescent="0.3">
      <c r="F296" s="3">
        <f t="shared" si="4"/>
        <v>0</v>
      </c>
    </row>
    <row r="297" spans="6:6" x14ac:dyDescent="0.3">
      <c r="F297" s="3">
        <f t="shared" si="4"/>
        <v>0</v>
      </c>
    </row>
    <row r="298" spans="6:6" x14ac:dyDescent="0.3">
      <c r="F298" s="3">
        <f t="shared" si="4"/>
        <v>0</v>
      </c>
    </row>
    <row r="299" spans="6:6" x14ac:dyDescent="0.3">
      <c r="F299" s="3">
        <f t="shared" si="4"/>
        <v>0</v>
      </c>
    </row>
    <row r="300" spans="6:6" x14ac:dyDescent="0.3">
      <c r="F300" s="3">
        <f t="shared" si="4"/>
        <v>0</v>
      </c>
    </row>
    <row r="301" spans="6:6" x14ac:dyDescent="0.3">
      <c r="F301" s="3">
        <f t="shared" si="4"/>
        <v>0</v>
      </c>
    </row>
    <row r="302" spans="6:6" x14ac:dyDescent="0.3">
      <c r="F302" s="3">
        <f t="shared" si="4"/>
        <v>0</v>
      </c>
    </row>
    <row r="303" spans="6:6" x14ac:dyDescent="0.3">
      <c r="F303" s="3">
        <f t="shared" si="4"/>
        <v>0</v>
      </c>
    </row>
    <row r="304" spans="6:6" x14ac:dyDescent="0.3">
      <c r="F304" s="3">
        <f t="shared" si="4"/>
        <v>0</v>
      </c>
    </row>
    <row r="305" spans="6:6" x14ac:dyDescent="0.3">
      <c r="F305" s="3">
        <f t="shared" si="4"/>
        <v>0</v>
      </c>
    </row>
    <row r="306" spans="6:6" x14ac:dyDescent="0.3">
      <c r="F306" s="3">
        <f t="shared" si="4"/>
        <v>0</v>
      </c>
    </row>
    <row r="307" spans="6:6" x14ac:dyDescent="0.3">
      <c r="F307" s="3">
        <f t="shared" si="4"/>
        <v>0</v>
      </c>
    </row>
    <row r="308" spans="6:6" x14ac:dyDescent="0.3">
      <c r="F308" s="3">
        <f t="shared" si="4"/>
        <v>0</v>
      </c>
    </row>
    <row r="309" spans="6:6" x14ac:dyDescent="0.3">
      <c r="F309" s="3">
        <f t="shared" si="4"/>
        <v>0</v>
      </c>
    </row>
    <row r="310" spans="6:6" x14ac:dyDescent="0.3">
      <c r="F310" s="3">
        <f t="shared" si="4"/>
        <v>0</v>
      </c>
    </row>
    <row r="311" spans="6:6" x14ac:dyDescent="0.3">
      <c r="F311" s="3">
        <f t="shared" si="4"/>
        <v>0</v>
      </c>
    </row>
    <row r="312" spans="6:6" x14ac:dyDescent="0.3">
      <c r="F312" s="3">
        <f t="shared" si="4"/>
        <v>0</v>
      </c>
    </row>
    <row r="313" spans="6:6" x14ac:dyDescent="0.3">
      <c r="F313" s="3">
        <f t="shared" si="4"/>
        <v>0</v>
      </c>
    </row>
    <row r="314" spans="6:6" x14ac:dyDescent="0.3">
      <c r="F314" s="3">
        <f t="shared" si="4"/>
        <v>0</v>
      </c>
    </row>
    <row r="315" spans="6:6" x14ac:dyDescent="0.3">
      <c r="F315" s="3">
        <f t="shared" si="4"/>
        <v>0</v>
      </c>
    </row>
    <row r="316" spans="6:6" x14ac:dyDescent="0.3">
      <c r="F316" s="3">
        <f t="shared" si="4"/>
        <v>0</v>
      </c>
    </row>
    <row r="317" spans="6:6" x14ac:dyDescent="0.3">
      <c r="F317" s="3">
        <f t="shared" si="4"/>
        <v>0</v>
      </c>
    </row>
    <row r="318" spans="6:6" x14ac:dyDescent="0.3">
      <c r="F318" s="3">
        <f t="shared" si="4"/>
        <v>0</v>
      </c>
    </row>
    <row r="319" spans="6:6" x14ac:dyDescent="0.3">
      <c r="F319" s="3">
        <f t="shared" si="4"/>
        <v>0</v>
      </c>
    </row>
    <row r="320" spans="6:6" x14ac:dyDescent="0.3">
      <c r="F320" s="3">
        <f t="shared" si="4"/>
        <v>0</v>
      </c>
    </row>
    <row r="321" spans="6:6" x14ac:dyDescent="0.3">
      <c r="F321" s="3">
        <f t="shared" ref="F321:F384" si="5">D321*E321</f>
        <v>0</v>
      </c>
    </row>
    <row r="322" spans="6:6" x14ac:dyDescent="0.3">
      <c r="F322" s="3">
        <f t="shared" si="5"/>
        <v>0</v>
      </c>
    </row>
    <row r="323" spans="6:6" x14ac:dyDescent="0.3">
      <c r="F323" s="3">
        <f t="shared" si="5"/>
        <v>0</v>
      </c>
    </row>
    <row r="324" spans="6:6" x14ac:dyDescent="0.3">
      <c r="F324" s="3">
        <f t="shared" si="5"/>
        <v>0</v>
      </c>
    </row>
    <row r="325" spans="6:6" x14ac:dyDescent="0.3">
      <c r="F325" s="3">
        <f t="shared" si="5"/>
        <v>0</v>
      </c>
    </row>
    <row r="326" spans="6:6" x14ac:dyDescent="0.3">
      <c r="F326" s="3">
        <f t="shared" si="5"/>
        <v>0</v>
      </c>
    </row>
    <row r="327" spans="6:6" x14ac:dyDescent="0.3">
      <c r="F327" s="3">
        <f t="shared" si="5"/>
        <v>0</v>
      </c>
    </row>
    <row r="328" spans="6:6" x14ac:dyDescent="0.3">
      <c r="F328" s="3">
        <f t="shared" si="5"/>
        <v>0</v>
      </c>
    </row>
    <row r="329" spans="6:6" x14ac:dyDescent="0.3">
      <c r="F329" s="3">
        <f t="shared" si="5"/>
        <v>0</v>
      </c>
    </row>
    <row r="330" spans="6:6" x14ac:dyDescent="0.3">
      <c r="F330" s="3">
        <f t="shared" si="5"/>
        <v>0</v>
      </c>
    </row>
    <row r="331" spans="6:6" x14ac:dyDescent="0.3">
      <c r="F331" s="3">
        <f t="shared" si="5"/>
        <v>0</v>
      </c>
    </row>
    <row r="332" spans="6:6" x14ac:dyDescent="0.3">
      <c r="F332" s="3">
        <f t="shared" si="5"/>
        <v>0</v>
      </c>
    </row>
    <row r="333" spans="6:6" x14ac:dyDescent="0.3">
      <c r="F333" s="3">
        <f t="shared" si="5"/>
        <v>0</v>
      </c>
    </row>
    <row r="334" spans="6:6" x14ac:dyDescent="0.3">
      <c r="F334" s="3">
        <f t="shared" si="5"/>
        <v>0</v>
      </c>
    </row>
    <row r="335" spans="6:6" x14ac:dyDescent="0.3">
      <c r="F335" s="3">
        <f t="shared" si="5"/>
        <v>0</v>
      </c>
    </row>
    <row r="336" spans="6:6" x14ac:dyDescent="0.3">
      <c r="F336" s="3">
        <f t="shared" si="5"/>
        <v>0</v>
      </c>
    </row>
    <row r="337" spans="6:6" x14ac:dyDescent="0.3">
      <c r="F337" s="3">
        <f t="shared" si="5"/>
        <v>0</v>
      </c>
    </row>
    <row r="338" spans="6:6" x14ac:dyDescent="0.3">
      <c r="F338" s="3">
        <f t="shared" si="5"/>
        <v>0</v>
      </c>
    </row>
    <row r="339" spans="6:6" x14ac:dyDescent="0.3">
      <c r="F339" s="3">
        <f t="shared" si="5"/>
        <v>0</v>
      </c>
    </row>
    <row r="340" spans="6:6" x14ac:dyDescent="0.3">
      <c r="F340" s="3">
        <f t="shared" si="5"/>
        <v>0</v>
      </c>
    </row>
    <row r="341" spans="6:6" x14ac:dyDescent="0.3">
      <c r="F341" s="3">
        <f t="shared" si="5"/>
        <v>0</v>
      </c>
    </row>
    <row r="342" spans="6:6" x14ac:dyDescent="0.3">
      <c r="F342" s="3">
        <f t="shared" si="5"/>
        <v>0</v>
      </c>
    </row>
    <row r="343" spans="6:6" x14ac:dyDescent="0.3">
      <c r="F343" s="3">
        <f t="shared" si="5"/>
        <v>0</v>
      </c>
    </row>
    <row r="344" spans="6:6" x14ac:dyDescent="0.3">
      <c r="F344" s="3">
        <f t="shared" si="5"/>
        <v>0</v>
      </c>
    </row>
    <row r="345" spans="6:6" x14ac:dyDescent="0.3">
      <c r="F345" s="3">
        <f t="shared" si="5"/>
        <v>0</v>
      </c>
    </row>
    <row r="346" spans="6:6" x14ac:dyDescent="0.3">
      <c r="F346" s="3">
        <f t="shared" si="5"/>
        <v>0</v>
      </c>
    </row>
    <row r="347" spans="6:6" x14ac:dyDescent="0.3">
      <c r="F347" s="3">
        <f t="shared" si="5"/>
        <v>0</v>
      </c>
    </row>
    <row r="348" spans="6:6" x14ac:dyDescent="0.3">
      <c r="F348" s="3">
        <f t="shared" si="5"/>
        <v>0</v>
      </c>
    </row>
    <row r="349" spans="6:6" x14ac:dyDescent="0.3">
      <c r="F349" s="3">
        <f t="shared" si="5"/>
        <v>0</v>
      </c>
    </row>
    <row r="350" spans="6:6" x14ac:dyDescent="0.3">
      <c r="F350" s="3">
        <f t="shared" si="5"/>
        <v>0</v>
      </c>
    </row>
    <row r="351" spans="6:6" x14ac:dyDescent="0.3">
      <c r="F351" s="3">
        <f t="shared" si="5"/>
        <v>0</v>
      </c>
    </row>
    <row r="352" spans="6:6" x14ac:dyDescent="0.3">
      <c r="F352" s="3">
        <f t="shared" si="5"/>
        <v>0</v>
      </c>
    </row>
    <row r="353" spans="6:6" x14ac:dyDescent="0.3">
      <c r="F353" s="3">
        <f t="shared" si="5"/>
        <v>0</v>
      </c>
    </row>
    <row r="354" spans="6:6" x14ac:dyDescent="0.3">
      <c r="F354" s="3">
        <f t="shared" si="5"/>
        <v>0</v>
      </c>
    </row>
    <row r="355" spans="6:6" x14ac:dyDescent="0.3">
      <c r="F355" s="3">
        <f t="shared" si="5"/>
        <v>0</v>
      </c>
    </row>
    <row r="356" spans="6:6" x14ac:dyDescent="0.3">
      <c r="F356" s="3">
        <f t="shared" si="5"/>
        <v>0</v>
      </c>
    </row>
    <row r="357" spans="6:6" x14ac:dyDescent="0.3">
      <c r="F357" s="3">
        <f t="shared" si="5"/>
        <v>0</v>
      </c>
    </row>
    <row r="358" spans="6:6" x14ac:dyDescent="0.3">
      <c r="F358" s="3">
        <f t="shared" si="5"/>
        <v>0</v>
      </c>
    </row>
    <row r="359" spans="6:6" x14ac:dyDescent="0.3">
      <c r="F359" s="3">
        <f t="shared" si="5"/>
        <v>0</v>
      </c>
    </row>
    <row r="360" spans="6:6" x14ac:dyDescent="0.3">
      <c r="F360" s="3">
        <f t="shared" si="5"/>
        <v>0</v>
      </c>
    </row>
    <row r="361" spans="6:6" x14ac:dyDescent="0.3">
      <c r="F361" s="3">
        <f t="shared" si="5"/>
        <v>0</v>
      </c>
    </row>
    <row r="362" spans="6:6" x14ac:dyDescent="0.3">
      <c r="F362" s="3">
        <f t="shared" si="5"/>
        <v>0</v>
      </c>
    </row>
    <row r="363" spans="6:6" x14ac:dyDescent="0.3">
      <c r="F363" s="3">
        <f t="shared" si="5"/>
        <v>0</v>
      </c>
    </row>
    <row r="364" spans="6:6" x14ac:dyDescent="0.3">
      <c r="F364" s="3">
        <f t="shared" si="5"/>
        <v>0</v>
      </c>
    </row>
    <row r="365" spans="6:6" x14ac:dyDescent="0.3">
      <c r="F365" s="3">
        <f t="shared" si="5"/>
        <v>0</v>
      </c>
    </row>
    <row r="366" spans="6:6" x14ac:dyDescent="0.3">
      <c r="F366" s="3">
        <f t="shared" si="5"/>
        <v>0</v>
      </c>
    </row>
    <row r="367" spans="6:6" x14ac:dyDescent="0.3">
      <c r="F367" s="3">
        <f t="shared" si="5"/>
        <v>0</v>
      </c>
    </row>
    <row r="368" spans="6:6" x14ac:dyDescent="0.3">
      <c r="F368" s="3">
        <f t="shared" si="5"/>
        <v>0</v>
      </c>
    </row>
    <row r="369" spans="6:6" x14ac:dyDescent="0.3">
      <c r="F369" s="3">
        <f t="shared" si="5"/>
        <v>0</v>
      </c>
    </row>
    <row r="370" spans="6:6" x14ac:dyDescent="0.3">
      <c r="F370" s="3">
        <f t="shared" si="5"/>
        <v>0</v>
      </c>
    </row>
    <row r="371" spans="6:6" x14ac:dyDescent="0.3">
      <c r="F371" s="3">
        <f t="shared" si="5"/>
        <v>0</v>
      </c>
    </row>
    <row r="372" spans="6:6" x14ac:dyDescent="0.3">
      <c r="F372" s="3">
        <f t="shared" si="5"/>
        <v>0</v>
      </c>
    </row>
    <row r="373" spans="6:6" x14ac:dyDescent="0.3">
      <c r="F373" s="3">
        <f t="shared" si="5"/>
        <v>0</v>
      </c>
    </row>
    <row r="374" spans="6:6" x14ac:dyDescent="0.3">
      <c r="F374" s="3">
        <f t="shared" si="5"/>
        <v>0</v>
      </c>
    </row>
    <row r="375" spans="6:6" x14ac:dyDescent="0.3">
      <c r="F375" s="3">
        <f t="shared" si="5"/>
        <v>0</v>
      </c>
    </row>
    <row r="376" spans="6:6" x14ac:dyDescent="0.3">
      <c r="F376" s="3">
        <f t="shared" si="5"/>
        <v>0</v>
      </c>
    </row>
    <row r="377" spans="6:6" x14ac:dyDescent="0.3">
      <c r="F377" s="3">
        <f t="shared" si="5"/>
        <v>0</v>
      </c>
    </row>
    <row r="378" spans="6:6" x14ac:dyDescent="0.3">
      <c r="F378" s="3">
        <f t="shared" si="5"/>
        <v>0</v>
      </c>
    </row>
    <row r="379" spans="6:6" x14ac:dyDescent="0.3">
      <c r="F379" s="3">
        <f t="shared" si="5"/>
        <v>0</v>
      </c>
    </row>
    <row r="380" spans="6:6" x14ac:dyDescent="0.3">
      <c r="F380" s="3">
        <f t="shared" si="5"/>
        <v>0</v>
      </c>
    </row>
    <row r="381" spans="6:6" x14ac:dyDescent="0.3">
      <c r="F381" s="3">
        <f t="shared" si="5"/>
        <v>0</v>
      </c>
    </row>
    <row r="382" spans="6:6" x14ac:dyDescent="0.3">
      <c r="F382" s="3">
        <f t="shared" si="5"/>
        <v>0</v>
      </c>
    </row>
    <row r="383" spans="6:6" x14ac:dyDescent="0.3">
      <c r="F383" s="3">
        <f t="shared" si="5"/>
        <v>0</v>
      </c>
    </row>
    <row r="384" spans="6:6" x14ac:dyDescent="0.3">
      <c r="F384" s="3">
        <f t="shared" si="5"/>
        <v>0</v>
      </c>
    </row>
    <row r="385" spans="6:6" x14ac:dyDescent="0.3">
      <c r="F385" s="3">
        <f t="shared" ref="F385:F448" si="6">D385*E385</f>
        <v>0</v>
      </c>
    </row>
    <row r="386" spans="6:6" x14ac:dyDescent="0.3">
      <c r="F386" s="3">
        <f t="shared" si="6"/>
        <v>0</v>
      </c>
    </row>
    <row r="387" spans="6:6" x14ac:dyDescent="0.3">
      <c r="F387" s="3">
        <f t="shared" si="6"/>
        <v>0</v>
      </c>
    </row>
    <row r="388" spans="6:6" x14ac:dyDescent="0.3">
      <c r="F388" s="3">
        <f t="shared" si="6"/>
        <v>0</v>
      </c>
    </row>
    <row r="389" spans="6:6" x14ac:dyDescent="0.3">
      <c r="F389" s="3">
        <f t="shared" si="6"/>
        <v>0</v>
      </c>
    </row>
    <row r="390" spans="6:6" x14ac:dyDescent="0.3">
      <c r="F390" s="3">
        <f t="shared" si="6"/>
        <v>0</v>
      </c>
    </row>
    <row r="391" spans="6:6" x14ac:dyDescent="0.3">
      <c r="F391" s="3">
        <f t="shared" si="6"/>
        <v>0</v>
      </c>
    </row>
    <row r="392" spans="6:6" x14ac:dyDescent="0.3">
      <c r="F392" s="3">
        <f t="shared" si="6"/>
        <v>0</v>
      </c>
    </row>
    <row r="393" spans="6:6" x14ac:dyDescent="0.3">
      <c r="F393" s="3">
        <f t="shared" si="6"/>
        <v>0</v>
      </c>
    </row>
    <row r="394" spans="6:6" x14ac:dyDescent="0.3">
      <c r="F394" s="3">
        <f t="shared" si="6"/>
        <v>0</v>
      </c>
    </row>
    <row r="395" spans="6:6" x14ac:dyDescent="0.3">
      <c r="F395" s="3">
        <f t="shared" si="6"/>
        <v>0</v>
      </c>
    </row>
    <row r="396" spans="6:6" x14ac:dyDescent="0.3">
      <c r="F396" s="3">
        <f t="shared" si="6"/>
        <v>0</v>
      </c>
    </row>
    <row r="397" spans="6:6" x14ac:dyDescent="0.3">
      <c r="F397" s="3">
        <f t="shared" si="6"/>
        <v>0</v>
      </c>
    </row>
    <row r="398" spans="6:6" x14ac:dyDescent="0.3">
      <c r="F398" s="3">
        <f t="shared" si="6"/>
        <v>0</v>
      </c>
    </row>
    <row r="399" spans="6:6" x14ac:dyDescent="0.3">
      <c r="F399" s="3">
        <f t="shared" si="6"/>
        <v>0</v>
      </c>
    </row>
    <row r="400" spans="6:6" x14ac:dyDescent="0.3">
      <c r="F400" s="3">
        <f t="shared" si="6"/>
        <v>0</v>
      </c>
    </row>
    <row r="401" spans="6:6" x14ac:dyDescent="0.3">
      <c r="F401" s="3">
        <f t="shared" si="6"/>
        <v>0</v>
      </c>
    </row>
    <row r="402" spans="6:6" x14ac:dyDescent="0.3">
      <c r="F402" s="3">
        <f t="shared" si="6"/>
        <v>0</v>
      </c>
    </row>
    <row r="403" spans="6:6" x14ac:dyDescent="0.3">
      <c r="F403" s="3">
        <f t="shared" si="6"/>
        <v>0</v>
      </c>
    </row>
    <row r="404" spans="6:6" x14ac:dyDescent="0.3">
      <c r="F404" s="3">
        <f t="shared" si="6"/>
        <v>0</v>
      </c>
    </row>
    <row r="405" spans="6:6" x14ac:dyDescent="0.3">
      <c r="F405" s="3">
        <f t="shared" si="6"/>
        <v>0</v>
      </c>
    </row>
    <row r="406" spans="6:6" x14ac:dyDescent="0.3">
      <c r="F406" s="3">
        <f t="shared" si="6"/>
        <v>0</v>
      </c>
    </row>
    <row r="407" spans="6:6" x14ac:dyDescent="0.3">
      <c r="F407" s="3">
        <f t="shared" si="6"/>
        <v>0</v>
      </c>
    </row>
    <row r="408" spans="6:6" x14ac:dyDescent="0.3">
      <c r="F408" s="3">
        <f t="shared" si="6"/>
        <v>0</v>
      </c>
    </row>
    <row r="409" spans="6:6" x14ac:dyDescent="0.3">
      <c r="F409" s="3">
        <f t="shared" si="6"/>
        <v>0</v>
      </c>
    </row>
    <row r="410" spans="6:6" x14ac:dyDescent="0.3">
      <c r="F410" s="3">
        <f t="shared" si="6"/>
        <v>0</v>
      </c>
    </row>
    <row r="411" spans="6:6" x14ac:dyDescent="0.3">
      <c r="F411" s="3">
        <f t="shared" si="6"/>
        <v>0</v>
      </c>
    </row>
    <row r="412" spans="6:6" x14ac:dyDescent="0.3">
      <c r="F412" s="3">
        <f t="shared" si="6"/>
        <v>0</v>
      </c>
    </row>
    <row r="413" spans="6:6" x14ac:dyDescent="0.3">
      <c r="F413" s="3">
        <f t="shared" si="6"/>
        <v>0</v>
      </c>
    </row>
    <row r="414" spans="6:6" x14ac:dyDescent="0.3">
      <c r="F414" s="3">
        <f t="shared" si="6"/>
        <v>0</v>
      </c>
    </row>
    <row r="415" spans="6:6" x14ac:dyDescent="0.3">
      <c r="F415" s="3">
        <f t="shared" si="6"/>
        <v>0</v>
      </c>
    </row>
    <row r="416" spans="6:6" x14ac:dyDescent="0.3">
      <c r="F416" s="3">
        <f t="shared" si="6"/>
        <v>0</v>
      </c>
    </row>
    <row r="417" spans="6:6" x14ac:dyDescent="0.3">
      <c r="F417" s="3">
        <f t="shared" si="6"/>
        <v>0</v>
      </c>
    </row>
    <row r="418" spans="6:6" x14ac:dyDescent="0.3">
      <c r="F418" s="3">
        <f t="shared" si="6"/>
        <v>0</v>
      </c>
    </row>
    <row r="419" spans="6:6" x14ac:dyDescent="0.3">
      <c r="F419" s="3">
        <f t="shared" si="6"/>
        <v>0</v>
      </c>
    </row>
    <row r="420" spans="6:6" x14ac:dyDescent="0.3">
      <c r="F420" s="3">
        <f t="shared" si="6"/>
        <v>0</v>
      </c>
    </row>
    <row r="421" spans="6:6" x14ac:dyDescent="0.3">
      <c r="F421" s="3">
        <f t="shared" si="6"/>
        <v>0</v>
      </c>
    </row>
    <row r="422" spans="6:6" x14ac:dyDescent="0.3">
      <c r="F422" s="3">
        <f t="shared" si="6"/>
        <v>0</v>
      </c>
    </row>
    <row r="423" spans="6:6" x14ac:dyDescent="0.3">
      <c r="F423" s="3">
        <f t="shared" si="6"/>
        <v>0</v>
      </c>
    </row>
    <row r="424" spans="6:6" x14ac:dyDescent="0.3">
      <c r="F424" s="3">
        <f t="shared" si="6"/>
        <v>0</v>
      </c>
    </row>
    <row r="425" spans="6:6" x14ac:dyDescent="0.3">
      <c r="F425" s="3">
        <f t="shared" si="6"/>
        <v>0</v>
      </c>
    </row>
    <row r="426" spans="6:6" x14ac:dyDescent="0.3">
      <c r="F426" s="3">
        <f t="shared" si="6"/>
        <v>0</v>
      </c>
    </row>
    <row r="427" spans="6:6" x14ac:dyDescent="0.3">
      <c r="F427" s="3">
        <f t="shared" si="6"/>
        <v>0</v>
      </c>
    </row>
    <row r="428" spans="6:6" x14ac:dyDescent="0.3">
      <c r="F428" s="3">
        <f t="shared" si="6"/>
        <v>0</v>
      </c>
    </row>
    <row r="429" spans="6:6" x14ac:dyDescent="0.3">
      <c r="F429" s="3">
        <f t="shared" si="6"/>
        <v>0</v>
      </c>
    </row>
    <row r="430" spans="6:6" x14ac:dyDescent="0.3">
      <c r="F430" s="3">
        <f t="shared" si="6"/>
        <v>0</v>
      </c>
    </row>
    <row r="431" spans="6:6" x14ac:dyDescent="0.3">
      <c r="F431" s="3">
        <f t="shared" si="6"/>
        <v>0</v>
      </c>
    </row>
    <row r="432" spans="6:6" x14ac:dyDescent="0.3">
      <c r="F432" s="3">
        <f t="shared" si="6"/>
        <v>0</v>
      </c>
    </row>
    <row r="433" spans="6:6" x14ac:dyDescent="0.3">
      <c r="F433" s="3">
        <f t="shared" si="6"/>
        <v>0</v>
      </c>
    </row>
    <row r="434" spans="6:6" x14ac:dyDescent="0.3">
      <c r="F434" s="3">
        <f t="shared" si="6"/>
        <v>0</v>
      </c>
    </row>
    <row r="435" spans="6:6" x14ac:dyDescent="0.3">
      <c r="F435" s="3">
        <f t="shared" si="6"/>
        <v>0</v>
      </c>
    </row>
    <row r="436" spans="6:6" x14ac:dyDescent="0.3">
      <c r="F436" s="3">
        <f t="shared" si="6"/>
        <v>0</v>
      </c>
    </row>
    <row r="437" spans="6:6" x14ac:dyDescent="0.3">
      <c r="F437" s="3">
        <f t="shared" si="6"/>
        <v>0</v>
      </c>
    </row>
    <row r="438" spans="6:6" x14ac:dyDescent="0.3">
      <c r="F438" s="3">
        <f t="shared" si="6"/>
        <v>0</v>
      </c>
    </row>
    <row r="439" spans="6:6" x14ac:dyDescent="0.3">
      <c r="F439" s="3">
        <f t="shared" si="6"/>
        <v>0</v>
      </c>
    </row>
    <row r="440" spans="6:6" x14ac:dyDescent="0.3">
      <c r="F440" s="3">
        <f t="shared" si="6"/>
        <v>0</v>
      </c>
    </row>
    <row r="441" spans="6:6" x14ac:dyDescent="0.3">
      <c r="F441" s="3">
        <f t="shared" si="6"/>
        <v>0</v>
      </c>
    </row>
    <row r="442" spans="6:6" x14ac:dyDescent="0.3">
      <c r="F442" s="3">
        <f t="shared" si="6"/>
        <v>0</v>
      </c>
    </row>
    <row r="443" spans="6:6" x14ac:dyDescent="0.3">
      <c r="F443" s="3">
        <f t="shared" si="6"/>
        <v>0</v>
      </c>
    </row>
    <row r="444" spans="6:6" x14ac:dyDescent="0.3">
      <c r="F444" s="3">
        <f t="shared" si="6"/>
        <v>0</v>
      </c>
    </row>
    <row r="445" spans="6:6" x14ac:dyDescent="0.3">
      <c r="F445" s="3">
        <f t="shared" si="6"/>
        <v>0</v>
      </c>
    </row>
    <row r="446" spans="6:6" x14ac:dyDescent="0.3">
      <c r="F446" s="3">
        <f t="shared" si="6"/>
        <v>0</v>
      </c>
    </row>
    <row r="447" spans="6:6" x14ac:dyDescent="0.3">
      <c r="F447" s="3">
        <f t="shared" si="6"/>
        <v>0</v>
      </c>
    </row>
    <row r="448" spans="6:6" x14ac:dyDescent="0.3">
      <c r="F448" s="3">
        <f t="shared" si="6"/>
        <v>0</v>
      </c>
    </row>
    <row r="449" spans="6:6" x14ac:dyDescent="0.3">
      <c r="F449" s="3">
        <f t="shared" ref="F449:F512" si="7">D449*E449</f>
        <v>0</v>
      </c>
    </row>
    <row r="450" spans="6:6" x14ac:dyDescent="0.3">
      <c r="F450" s="3">
        <f t="shared" si="7"/>
        <v>0</v>
      </c>
    </row>
    <row r="451" spans="6:6" x14ac:dyDescent="0.3">
      <c r="F451" s="3">
        <f t="shared" si="7"/>
        <v>0</v>
      </c>
    </row>
    <row r="452" spans="6:6" x14ac:dyDescent="0.3">
      <c r="F452" s="3">
        <f t="shared" si="7"/>
        <v>0</v>
      </c>
    </row>
    <row r="453" spans="6:6" x14ac:dyDescent="0.3">
      <c r="F453" s="3">
        <f t="shared" si="7"/>
        <v>0</v>
      </c>
    </row>
    <row r="454" spans="6:6" x14ac:dyDescent="0.3">
      <c r="F454" s="3">
        <f t="shared" si="7"/>
        <v>0</v>
      </c>
    </row>
    <row r="455" spans="6:6" x14ac:dyDescent="0.3">
      <c r="F455" s="3">
        <f t="shared" si="7"/>
        <v>0</v>
      </c>
    </row>
    <row r="456" spans="6:6" x14ac:dyDescent="0.3">
      <c r="F456" s="3">
        <f t="shared" si="7"/>
        <v>0</v>
      </c>
    </row>
    <row r="457" spans="6:6" x14ac:dyDescent="0.3">
      <c r="F457" s="3">
        <f t="shared" si="7"/>
        <v>0</v>
      </c>
    </row>
    <row r="458" spans="6:6" x14ac:dyDescent="0.3">
      <c r="F458" s="3">
        <f t="shared" si="7"/>
        <v>0</v>
      </c>
    </row>
    <row r="459" spans="6:6" x14ac:dyDescent="0.3">
      <c r="F459" s="3">
        <f t="shared" si="7"/>
        <v>0</v>
      </c>
    </row>
    <row r="460" spans="6:6" x14ac:dyDescent="0.3">
      <c r="F460" s="3">
        <f t="shared" si="7"/>
        <v>0</v>
      </c>
    </row>
    <row r="461" spans="6:6" x14ac:dyDescent="0.3">
      <c r="F461" s="3">
        <f t="shared" si="7"/>
        <v>0</v>
      </c>
    </row>
    <row r="462" spans="6:6" x14ac:dyDescent="0.3">
      <c r="F462" s="3">
        <f t="shared" si="7"/>
        <v>0</v>
      </c>
    </row>
    <row r="463" spans="6:6" x14ac:dyDescent="0.3">
      <c r="F463" s="3">
        <f t="shared" si="7"/>
        <v>0</v>
      </c>
    </row>
    <row r="464" spans="6:6" x14ac:dyDescent="0.3">
      <c r="F464" s="3">
        <f t="shared" si="7"/>
        <v>0</v>
      </c>
    </row>
    <row r="465" spans="6:6" x14ac:dyDescent="0.3">
      <c r="F465" s="3">
        <f t="shared" si="7"/>
        <v>0</v>
      </c>
    </row>
    <row r="466" spans="6:6" x14ac:dyDescent="0.3">
      <c r="F466" s="3">
        <f t="shared" si="7"/>
        <v>0</v>
      </c>
    </row>
    <row r="467" spans="6:6" x14ac:dyDescent="0.3">
      <c r="F467" s="3">
        <f t="shared" si="7"/>
        <v>0</v>
      </c>
    </row>
    <row r="468" spans="6:6" x14ac:dyDescent="0.3">
      <c r="F468" s="3">
        <f t="shared" si="7"/>
        <v>0</v>
      </c>
    </row>
    <row r="469" spans="6:6" x14ac:dyDescent="0.3">
      <c r="F469" s="3">
        <f t="shared" si="7"/>
        <v>0</v>
      </c>
    </row>
    <row r="470" spans="6:6" x14ac:dyDescent="0.3">
      <c r="F470" s="3">
        <f t="shared" si="7"/>
        <v>0</v>
      </c>
    </row>
    <row r="471" spans="6:6" x14ac:dyDescent="0.3">
      <c r="F471" s="3">
        <f t="shared" si="7"/>
        <v>0</v>
      </c>
    </row>
    <row r="472" spans="6:6" x14ac:dyDescent="0.3">
      <c r="F472" s="3">
        <f t="shared" si="7"/>
        <v>0</v>
      </c>
    </row>
    <row r="473" spans="6:6" x14ac:dyDescent="0.3">
      <c r="F473" s="3">
        <f t="shared" si="7"/>
        <v>0</v>
      </c>
    </row>
    <row r="474" spans="6:6" x14ac:dyDescent="0.3">
      <c r="F474" s="3">
        <f t="shared" si="7"/>
        <v>0</v>
      </c>
    </row>
    <row r="475" spans="6:6" x14ac:dyDescent="0.3">
      <c r="F475" s="3">
        <f t="shared" si="7"/>
        <v>0</v>
      </c>
    </row>
    <row r="476" spans="6:6" x14ac:dyDescent="0.3">
      <c r="F476" s="3">
        <f t="shared" si="7"/>
        <v>0</v>
      </c>
    </row>
    <row r="477" spans="6:6" x14ac:dyDescent="0.3">
      <c r="F477" s="3">
        <f t="shared" si="7"/>
        <v>0</v>
      </c>
    </row>
    <row r="478" spans="6:6" x14ac:dyDescent="0.3">
      <c r="F478" s="3">
        <f t="shared" si="7"/>
        <v>0</v>
      </c>
    </row>
    <row r="479" spans="6:6" x14ac:dyDescent="0.3">
      <c r="F479" s="3">
        <f t="shared" si="7"/>
        <v>0</v>
      </c>
    </row>
    <row r="480" spans="6:6" x14ac:dyDescent="0.3">
      <c r="F480" s="3">
        <f t="shared" si="7"/>
        <v>0</v>
      </c>
    </row>
    <row r="481" spans="6:6" x14ac:dyDescent="0.3">
      <c r="F481" s="3">
        <f t="shared" si="7"/>
        <v>0</v>
      </c>
    </row>
    <row r="482" spans="6:6" x14ac:dyDescent="0.3">
      <c r="F482" s="3">
        <f t="shared" si="7"/>
        <v>0</v>
      </c>
    </row>
    <row r="483" spans="6:6" x14ac:dyDescent="0.3">
      <c r="F483" s="3">
        <f t="shared" si="7"/>
        <v>0</v>
      </c>
    </row>
    <row r="484" spans="6:6" x14ac:dyDescent="0.3">
      <c r="F484" s="3">
        <f t="shared" si="7"/>
        <v>0</v>
      </c>
    </row>
    <row r="485" spans="6:6" x14ac:dyDescent="0.3">
      <c r="F485" s="3">
        <f t="shared" si="7"/>
        <v>0</v>
      </c>
    </row>
    <row r="486" spans="6:6" x14ac:dyDescent="0.3">
      <c r="F486" s="3">
        <f t="shared" si="7"/>
        <v>0</v>
      </c>
    </row>
    <row r="487" spans="6:6" x14ac:dyDescent="0.3">
      <c r="F487" s="3">
        <f t="shared" si="7"/>
        <v>0</v>
      </c>
    </row>
    <row r="488" spans="6:6" x14ac:dyDescent="0.3">
      <c r="F488" s="3">
        <f t="shared" si="7"/>
        <v>0</v>
      </c>
    </row>
    <row r="489" spans="6:6" x14ac:dyDescent="0.3">
      <c r="F489" s="3">
        <f t="shared" si="7"/>
        <v>0</v>
      </c>
    </row>
    <row r="490" spans="6:6" x14ac:dyDescent="0.3">
      <c r="F490" s="3">
        <f t="shared" si="7"/>
        <v>0</v>
      </c>
    </row>
    <row r="491" spans="6:6" x14ac:dyDescent="0.3">
      <c r="F491" s="3">
        <f t="shared" si="7"/>
        <v>0</v>
      </c>
    </row>
    <row r="492" spans="6:6" x14ac:dyDescent="0.3">
      <c r="F492" s="3">
        <f t="shared" si="7"/>
        <v>0</v>
      </c>
    </row>
    <row r="493" spans="6:6" x14ac:dyDescent="0.3">
      <c r="F493" s="3">
        <f t="shared" si="7"/>
        <v>0</v>
      </c>
    </row>
    <row r="494" spans="6:6" x14ac:dyDescent="0.3">
      <c r="F494" s="3">
        <f t="shared" si="7"/>
        <v>0</v>
      </c>
    </row>
    <row r="495" spans="6:6" x14ac:dyDescent="0.3">
      <c r="F495" s="3">
        <f t="shared" si="7"/>
        <v>0</v>
      </c>
    </row>
    <row r="496" spans="6:6" x14ac:dyDescent="0.3">
      <c r="F496" s="3">
        <f t="shared" si="7"/>
        <v>0</v>
      </c>
    </row>
    <row r="497" spans="6:6" x14ac:dyDescent="0.3">
      <c r="F497" s="3">
        <f t="shared" si="7"/>
        <v>0</v>
      </c>
    </row>
    <row r="498" spans="6:6" x14ac:dyDescent="0.3">
      <c r="F498" s="3">
        <f t="shared" si="7"/>
        <v>0</v>
      </c>
    </row>
    <row r="499" spans="6:6" x14ac:dyDescent="0.3">
      <c r="F499" s="3">
        <f t="shared" si="7"/>
        <v>0</v>
      </c>
    </row>
    <row r="500" spans="6:6" x14ac:dyDescent="0.3">
      <c r="F500" s="3">
        <f t="shared" si="7"/>
        <v>0</v>
      </c>
    </row>
  </sheetData>
  <conditionalFormatting sqref="F10:F50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4">
    <dataValidation type="list" allowBlank="1" showInputMessage="1" showErrorMessage="1" sqref="C10:C1000" xr:uid="{00000000-0002-0000-0500-000000000000}">
      <formula1>"Inicio,Análisis,Diseño,Construcción,QA,Release,Operación"</formula1>
    </dataValidation>
    <dataValidation type="whole" operator="greaterThanOrEqual" allowBlank="1" showInputMessage="1" showErrorMessage="1" sqref="D10:E1000" xr:uid="{00000000-0002-0000-0500-000001000000}">
      <formula1>1</formula1>
    </dataValidation>
    <dataValidation type="list" allowBlank="1" showInputMessage="1" showErrorMessage="1" sqref="G10:G1000" xr:uid="{00000000-0002-0000-0500-000003000000}">
      <formula1>"Bajo,Medio,Alto,Crítico"</formula1>
    </dataValidation>
    <dataValidation type="list" allowBlank="1" showInputMessage="1" showErrorMessage="1" sqref="M10:M1000" xr:uid="{00000000-0002-0000-0500-000004000000}">
      <formula1>"Abierto,Mitigando,Activado,Cerrado"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tabSelected="1" workbookViewId="0">
      <selection activeCell="B5" sqref="B5"/>
    </sheetView>
  </sheetViews>
  <sheetFormatPr baseColWidth="10" defaultColWidth="8.88671875" defaultRowHeight="14.4" x14ac:dyDescent="0.3"/>
  <cols>
    <col min="1" max="1" width="36.6640625" customWidth="1"/>
    <col min="2" max="2" width="90.6640625" customWidth="1"/>
  </cols>
  <sheetData>
    <row r="1" spans="1:2" ht="18" x14ac:dyDescent="0.35">
      <c r="A1" s="1" t="s">
        <v>49</v>
      </c>
    </row>
    <row r="2" spans="1:2" ht="15" thickBot="1" x14ac:dyDescent="0.35"/>
    <row r="3" spans="1:2" ht="22.8" customHeight="1" thickBot="1" x14ac:dyDescent="0.35">
      <c r="A3" s="8" t="s">
        <v>63</v>
      </c>
      <c r="B3" s="7" t="s">
        <v>322</v>
      </c>
    </row>
    <row r="4" spans="1:2" ht="57.6" x14ac:dyDescent="0.3">
      <c r="A4" s="6" t="s">
        <v>50</v>
      </c>
      <c r="B4" s="9" t="s">
        <v>323</v>
      </c>
    </row>
    <row r="5" spans="1:2" ht="57.6" x14ac:dyDescent="0.3">
      <c r="A5" s="4" t="s">
        <v>51</v>
      </c>
      <c r="B5" s="5" t="s">
        <v>324</v>
      </c>
    </row>
    <row r="6" spans="1:2" ht="43.2" x14ac:dyDescent="0.3">
      <c r="A6" s="4" t="s">
        <v>325</v>
      </c>
      <c r="B6" s="5" t="s">
        <v>326</v>
      </c>
    </row>
    <row r="7" spans="1:2" ht="58.2" x14ac:dyDescent="0.3">
      <c r="A7" s="4" t="s">
        <v>52</v>
      </c>
      <c r="B7" s="5" t="s">
        <v>327</v>
      </c>
    </row>
    <row r="8" spans="1:2" ht="57.6" x14ac:dyDescent="0.3">
      <c r="A8" s="4" t="s">
        <v>53</v>
      </c>
      <c r="B8" s="5" t="s">
        <v>328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9"/>
  <sheetViews>
    <sheetView workbookViewId="0"/>
  </sheetViews>
  <sheetFormatPr baseColWidth="10" defaultColWidth="8.88671875" defaultRowHeight="14.4" x14ac:dyDescent="0.3"/>
  <cols>
    <col min="1" max="1" width="120.6640625" customWidth="1"/>
  </cols>
  <sheetData>
    <row r="1" spans="1:1" ht="18" x14ac:dyDescent="0.35">
      <c r="A1" s="1" t="s">
        <v>54</v>
      </c>
    </row>
    <row r="2" spans="1:1" x14ac:dyDescent="0.3">
      <c r="A2" s="2" t="s">
        <v>55</v>
      </c>
    </row>
    <row r="3" spans="1:1" x14ac:dyDescent="0.3">
      <c r="A3" s="2" t="s">
        <v>56</v>
      </c>
    </row>
    <row r="4" spans="1:1" x14ac:dyDescent="0.3">
      <c r="A4" s="2" t="s">
        <v>57</v>
      </c>
    </row>
    <row r="5" spans="1:1" x14ac:dyDescent="0.3">
      <c r="A5" s="2" t="s">
        <v>58</v>
      </c>
    </row>
    <row r="6" spans="1:1" x14ac:dyDescent="0.3">
      <c r="A6" s="2" t="s">
        <v>59</v>
      </c>
    </row>
    <row r="7" spans="1:1" x14ac:dyDescent="0.3">
      <c r="A7" s="2" t="s">
        <v>60</v>
      </c>
    </row>
    <row r="8" spans="1:1" x14ac:dyDescent="0.3">
      <c r="A8" s="2" t="s">
        <v>61</v>
      </c>
    </row>
    <row r="9" spans="1:1" x14ac:dyDescent="0.3">
      <c r="A9" s="2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00_Portada</vt:lpstr>
      <vt:lpstr>01_RNF</vt:lpstr>
      <vt:lpstr>02_Mapeo_C4</vt:lpstr>
      <vt:lpstr>03_SLI_SLO</vt:lpstr>
      <vt:lpstr>04_Pruebas_RNF</vt:lpstr>
      <vt:lpstr>05_Riesgos_RNF</vt:lpstr>
      <vt:lpstr>06_Impl_Obs</vt:lpstr>
      <vt:lpstr>Instrucciones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Esteban Tabares</cp:lastModifiedBy>
  <dcterms:created xsi:type="dcterms:W3CDTF">2025-11-06T22:39:25Z</dcterms:created>
  <dcterms:modified xsi:type="dcterms:W3CDTF">2025-11-13T02:53:37Z</dcterms:modified>
</cp:coreProperties>
</file>